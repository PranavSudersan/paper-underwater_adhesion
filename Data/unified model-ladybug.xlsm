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\Documents\paper-underwater_adhesion\Data\"/>
    </mc:Choice>
  </mc:AlternateContent>
  <bookViews>
    <workbookView xWindow="0" yWindow="0" windowWidth="19155" windowHeight="8445"/>
  </bookViews>
  <sheets>
    <sheet name="Parameters" sheetId="1" r:id="rId1"/>
    <sheet name="Force data" sheetId="2" r:id="rId2"/>
    <sheet name="Fluid data" sheetId="4" r:id="rId3"/>
    <sheet name="Bubble data" sheetId="3" r:id="rId4"/>
    <sheet name="Rupture data" sheetId="6" r:id="rId5"/>
    <sheet name="Temp" sheetId="5" r:id="rId6"/>
  </sheets>
  <definedNames>
    <definedName name="_xlnm._FilterDatabase" localSheetId="3" hidden="1">'Bubble data'!$A$1:$Z$161</definedName>
    <definedName name="_xlnm._FilterDatabase" localSheetId="2" hidden="1">'Fluid data'!$A$1:$Y$246</definedName>
    <definedName name="Bubble">'Bubble data'!$A$1:$Y$83</definedName>
    <definedName name="Fluid">'Fluid data'!$A$1:$Y$411</definedName>
    <definedName name="Force">'Force data'!$A$1:$K$42</definedName>
    <definedName name="Rupture">'Rupture data'!$A$1:$B$11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6" i="1" s="1"/>
  <c r="H12" i="1" l="1"/>
  <c r="H20" i="1" l="1"/>
  <c r="H19" i="1"/>
  <c r="H18" i="1"/>
  <c r="B21" i="1" l="1"/>
  <c r="E2" i="1" l="1"/>
  <c r="C3" i="1"/>
  <c r="C5" i="1" l="1"/>
  <c r="E18" i="1"/>
  <c r="D18" i="1"/>
  <c r="C18" i="1"/>
  <c r="B18" i="1"/>
  <c r="H6" i="1"/>
  <c r="D9" i="1" l="1"/>
  <c r="E8" i="1"/>
  <c r="D8" i="1"/>
  <c r="E6" i="1"/>
  <c r="H14" i="1" s="1"/>
  <c r="B16" i="1"/>
  <c r="D16" i="1" l="1"/>
  <c r="H15" i="1"/>
  <c r="E7" i="1"/>
  <c r="C7" i="1"/>
</calcChain>
</file>

<file path=xl/sharedStrings.xml><?xml version="1.0" encoding="utf-8"?>
<sst xmlns="http://schemas.openxmlformats.org/spreadsheetml/2006/main" count="109" uniqueCount="80">
  <si>
    <t>Height</t>
  </si>
  <si>
    <t>Force (bubble)</t>
  </si>
  <si>
    <t>Surface Tension</t>
  </si>
  <si>
    <t>Fluid (f)</t>
  </si>
  <si>
    <t>Bubble (b)</t>
  </si>
  <si>
    <t>γ-fa</t>
  </si>
  <si>
    <t>γ-fw</t>
  </si>
  <si>
    <t>γ-wa</t>
  </si>
  <si>
    <t>Contact Angle</t>
  </si>
  <si>
    <t>θ-fa</t>
  </si>
  <si>
    <t>θ-fw</t>
  </si>
  <si>
    <t>θ-wa</t>
  </si>
  <si>
    <t>Length scale</t>
  </si>
  <si>
    <t>s-f</t>
  </si>
  <si>
    <t>s-b</t>
  </si>
  <si>
    <t>Volume</t>
  </si>
  <si>
    <t>Force</t>
  </si>
  <si>
    <t>Bottom_Angle</t>
  </si>
  <si>
    <t>Pin_Radius</t>
  </si>
  <si>
    <t>Elastic_Modulus</t>
  </si>
  <si>
    <t>Aspect_Ratio</t>
  </si>
  <si>
    <t>Ambient_Pressure</t>
  </si>
  <si>
    <t>Base_Height</t>
  </si>
  <si>
    <t>Height_Final</t>
  </si>
  <si>
    <t>Strain</t>
  </si>
  <si>
    <t>Force_Calc</t>
  </si>
  <si>
    <t>Energy</t>
  </si>
  <si>
    <t>Area</t>
  </si>
  <si>
    <t>Scale</t>
  </si>
  <si>
    <t>Pressure</t>
  </si>
  <si>
    <t>Bottom_Length</t>
  </si>
  <si>
    <t>Top_Length</t>
  </si>
  <si>
    <t>Bottom_Area</t>
  </si>
  <si>
    <t>Top_Area</t>
  </si>
  <si>
    <t>Mean_Curvature</t>
  </si>
  <si>
    <t>Min_Radius</t>
  </si>
  <si>
    <t>Max_Radius</t>
  </si>
  <si>
    <t>Pinning_Angle</t>
  </si>
  <si>
    <t>Iterations</t>
  </si>
  <si>
    <t>Pinned Radius</t>
  </si>
  <si>
    <t>Aspect Ratio</t>
  </si>
  <si>
    <t>Packing fraction</t>
  </si>
  <si>
    <t>Hair Aspect Ratio (l/d)</t>
  </si>
  <si>
    <t>Hair Length</t>
  </si>
  <si>
    <t>Length scale ratio (s-b/s-f)</t>
  </si>
  <si>
    <t>Total no. of hairs:</t>
  </si>
  <si>
    <t>Force (water)</t>
  </si>
  <si>
    <t>Force (air)</t>
  </si>
  <si>
    <t>Force (bubble-model)</t>
  </si>
  <si>
    <t>Force_hair_air</t>
  </si>
  <si>
    <t>Force_hair_water</t>
  </si>
  <si>
    <t>Force (hair)</t>
  </si>
  <si>
    <t>Data source</t>
  </si>
  <si>
    <t xml:space="preserve"> </t>
  </si>
  <si>
    <t>Pad/Hair dia (D/d)</t>
  </si>
  <si>
    <t>Vf</t>
  </si>
  <si>
    <t>Vb</t>
  </si>
  <si>
    <t>Range</t>
  </si>
  <si>
    <t>Angle</t>
  </si>
  <si>
    <t>Rupture_Height</t>
  </si>
  <si>
    <t>γ-fw/γ-fa</t>
  </si>
  <si>
    <t>γ-wa/γ-fa</t>
  </si>
  <si>
    <t>Title</t>
  </si>
  <si>
    <t>Step Size</t>
  </si>
  <si>
    <t>Tolerance</t>
  </si>
  <si>
    <t>Import</t>
  </si>
  <si>
    <t>Max force:</t>
  </si>
  <si>
    <t>Air</t>
  </si>
  <si>
    <t>Water</t>
  </si>
  <si>
    <t>Bubble model</t>
  </si>
  <si>
    <r>
      <t>Hair Modulus (em*</t>
    </r>
    <r>
      <rPr>
        <sz val="11"/>
        <color theme="1"/>
        <rFont val="Calibri"/>
        <family val="2"/>
      </rPr>
      <t>γ-fa</t>
    </r>
    <r>
      <rPr>
        <sz val="11"/>
        <color theme="1"/>
        <rFont val="Calibri"/>
        <family val="2"/>
        <charset val="1"/>
      </rPr>
      <t>/s-f)</t>
    </r>
  </si>
  <si>
    <t>Modulus (em)</t>
  </si>
  <si>
    <t>Hair Height (l)</t>
  </si>
  <si>
    <t>Hair diameter (d)</t>
  </si>
  <si>
    <t>Pad diameter (D)</t>
  </si>
  <si>
    <t>Bubble Contact Area</t>
  </si>
  <si>
    <t>Pad  area</t>
  </si>
  <si>
    <t>Hair Area</t>
  </si>
  <si>
    <t>E:\Work\Surface Evolver\Data\Bubble_Bridge\20201020 ladybug data final\pin_radius_2 (fluid)</t>
  </si>
  <si>
    <t>E:\Work\Surface Evolver\Data\Bubble_Bridge\20201020 ladybug data final\D_d=50 (ab=1.5)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</si>
</sst>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0"/>
    <numFmt numFmtId="165" formatCode="0.00000000"/>
  </numFmts>
  <fonts count="7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4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11" fontId="0" fillId="0" borderId="0" xfId="0" applyNumberFormat="1"/>
    <xf numFmtId="0" fontId="0" fillId="0" borderId="1" xfId="0" applyBorder="1"/>
    <xf numFmtId="0" fontId="0" fillId="3" borderId="5" xfId="0" applyFill="1" applyBorder="1"/>
    <xf numFmtId="0" fontId="0" fillId="0" borderId="5" xfId="0" applyBorder="1"/>
    <xf numFmtId="0" fontId="0" fillId="2" borderId="5" xfId="0" applyFill="1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4" xfId="0" applyFont="1" applyBorder="1"/>
    <xf numFmtId="0" fontId="0" fillId="2" borderId="3" xfId="0" applyFill="1" applyBorder="1"/>
    <xf numFmtId="11" fontId="0" fillId="0" borderId="3" xfId="0" applyNumberFormat="1" applyBorder="1"/>
    <xf numFmtId="11" fontId="0" fillId="0" borderId="5" xfId="0" applyNumberFormat="1" applyBorder="1"/>
    <xf numFmtId="0" fontId="0" fillId="2" borderId="7" xfId="0" applyFill="1" applyBorder="1"/>
    <xf numFmtId="164" fontId="0" fillId="0" borderId="4" xfId="0" applyNumberFormat="1" applyBorder="1"/>
    <xf numFmtId="164" fontId="0" fillId="0" borderId="5" xfId="0" applyNumberFormat="1" applyBorder="1"/>
    <xf numFmtId="0" fontId="4" fillId="0" borderId="4" xfId="0" applyFont="1" applyBorder="1"/>
    <xf numFmtId="0" fontId="0" fillId="0" borderId="6" xfId="0" applyFill="1" applyBorder="1"/>
    <xf numFmtId="11" fontId="0" fillId="0" borderId="8" xfId="0" applyNumberFormat="1" applyBorder="1"/>
    <xf numFmtId="165" fontId="0" fillId="0" borderId="6" xfId="0" applyNumberFormat="1" applyBorder="1"/>
    <xf numFmtId="0" fontId="0" fillId="0" borderId="0" xfId="0" applyNumberFormat="1"/>
    <xf numFmtId="164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11" fontId="0" fillId="3" borderId="5" xfId="0" applyNumberFormat="1" applyFill="1" applyBorder="1"/>
  </cellXfs>
  <cellStyles count="1">
    <cellStyle name="Normal" xfId="0" builtinId="0"/>
  </cellStyles>
  <dxfs count="3"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0000"/>
      <color rgb="FFFF3300"/>
      <color rgb="FFFBAB9B"/>
      <color rgb="FFFB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D/d=50 , </a:t>
            </a:r>
            <a:r>
              <a:rPr lang="el-GR"/>
              <a:t>θ-</a:t>
            </a:r>
            <a:r>
              <a:rPr lang="en-US"/>
              <a:t>fa=50 , </a:t>
            </a:r>
            <a:r>
              <a:rPr lang="el-GR"/>
              <a:t>θ-</a:t>
            </a:r>
            <a:r>
              <a:rPr lang="en-US"/>
              <a:t>wa=120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'Force data'!$D$1</c:f>
              <c:strCache>
                <c:ptCount val="1"/>
                <c:pt idx="0">
                  <c:v>Force (hair)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data'!$D$2:$D$42</c:f>
              <c:numCache>
                <c:formatCode>General</c:formatCode>
                <c:ptCount val="41"/>
                <c:pt idx="0">
                  <c:v>-0.11660132125</c:v>
                </c:pt>
                <c:pt idx="1">
                  <c:v>-0.42536350095999997</c:v>
                </c:pt>
                <c:pt idx="2">
                  <c:v>-0.60559388835000005</c:v>
                </c:pt>
                <c:pt idx="3">
                  <c:v>-0.61898934131000005</c:v>
                </c:pt>
                <c:pt idx="4">
                  <c:v>-0.57084718769999998</c:v>
                </c:pt>
                <c:pt idx="5">
                  <c:v>-0.51324823019999999</c:v>
                </c:pt>
                <c:pt idx="6">
                  <c:v>-0.46064012567000001</c:v>
                </c:pt>
                <c:pt idx="7">
                  <c:v>-0.41576591918</c:v>
                </c:pt>
                <c:pt idx="8">
                  <c:v>-0.37889816758</c:v>
                </c:pt>
                <c:pt idx="9">
                  <c:v>-0.34538628439000002</c:v>
                </c:pt>
                <c:pt idx="10">
                  <c:v>-0.31758493310000002</c:v>
                </c:pt>
                <c:pt idx="11">
                  <c:v>-0.29354637288000002</c:v>
                </c:pt>
                <c:pt idx="12">
                  <c:v>-0.27251343493000002</c:v>
                </c:pt>
                <c:pt idx="13">
                  <c:v>-0.25395974236000002</c:v>
                </c:pt>
                <c:pt idx="14">
                  <c:v>-0.23843480438</c:v>
                </c:pt>
                <c:pt idx="15">
                  <c:v>-0.22271799979000001</c:v>
                </c:pt>
                <c:pt idx="16">
                  <c:v>-0.20956150954</c:v>
                </c:pt>
                <c:pt idx="17">
                  <c:v>-0.19752999466999999</c:v>
                </c:pt>
                <c:pt idx="18">
                  <c:v>-0.18653768988</c:v>
                </c:pt>
                <c:pt idx="19">
                  <c:v>-0.17609578634</c:v>
                </c:pt>
                <c:pt idx="20">
                  <c:v>-0.16728906567999999</c:v>
                </c:pt>
                <c:pt idx="21">
                  <c:v>-0.15876042315</c:v>
                </c:pt>
                <c:pt idx="22">
                  <c:v>-0.15136826487999999</c:v>
                </c:pt>
                <c:pt idx="23">
                  <c:v>-0.14367391026000001</c:v>
                </c:pt>
                <c:pt idx="24">
                  <c:v>-0.13720170763</c:v>
                </c:pt>
                <c:pt idx="25">
                  <c:v>-0.13068306762000001</c:v>
                </c:pt>
                <c:pt idx="26">
                  <c:v>-0.12462014046</c:v>
                </c:pt>
                <c:pt idx="27">
                  <c:v>-0.11910476112</c:v>
                </c:pt>
                <c:pt idx="28">
                  <c:v>-0.11381497936</c:v>
                </c:pt>
                <c:pt idx="29">
                  <c:v>-0.10893188265000001</c:v>
                </c:pt>
                <c:pt idx="30">
                  <c:v>-0.10423611825</c:v>
                </c:pt>
                <c:pt idx="31">
                  <c:v>-9.9714826233000001E-2</c:v>
                </c:pt>
                <c:pt idx="32">
                  <c:v>-9.5346360032999997E-2</c:v>
                </c:pt>
                <c:pt idx="33">
                  <c:v>-9.1260780274999995E-2</c:v>
                </c:pt>
                <c:pt idx="34">
                  <c:v>-8.7341244696000006E-2</c:v>
                </c:pt>
                <c:pt idx="35">
                  <c:v>-8.3551679254000005E-2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38-4BFB-B559-19204BE1BE70}"/>
            </c:ext>
          </c:extLst>
        </c:ser>
        <c:ser>
          <c:idx val="3"/>
          <c:order val="3"/>
          <c:tx>
            <c:strRef>
              <c:f>'Force data'!$E$1</c:f>
              <c:strCache>
                <c:ptCount val="1"/>
                <c:pt idx="0">
                  <c:v>Force (bubble)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data'!$E$2:$E$42</c:f>
              <c:numCache>
                <c:formatCode>General</c:formatCode>
                <c:ptCount val="41"/>
                <c:pt idx="0">
                  <c:v>-6.6908900821971262E-2</c:v>
                </c:pt>
                <c:pt idx="1">
                  <c:v>-6.6956083244207251E-2</c:v>
                </c:pt>
                <c:pt idx="2">
                  <c:v>-6.7003577462898437E-2</c:v>
                </c:pt>
                <c:pt idx="3">
                  <c:v>-6.705122618519968E-2</c:v>
                </c:pt>
                <c:pt idx="4">
                  <c:v>-6.7098578285040761E-2</c:v>
                </c:pt>
                <c:pt idx="5">
                  <c:v>-6.7145225931852709E-2</c:v>
                </c:pt>
                <c:pt idx="6">
                  <c:v>-6.7191103699570986E-2</c:v>
                </c:pt>
                <c:pt idx="7">
                  <c:v>-6.7236230895417803E-2</c:v>
                </c:pt>
                <c:pt idx="8">
                  <c:v>-6.7280709529526958E-2</c:v>
                </c:pt>
                <c:pt idx="9">
                  <c:v>-6.7322578042450246E-2</c:v>
                </c:pt>
                <c:pt idx="10">
                  <c:v>-6.7368069350237744E-2</c:v>
                </c:pt>
                <c:pt idx="11">
                  <c:v>-6.7410954045499336E-2</c:v>
                </c:pt>
                <c:pt idx="12">
                  <c:v>-6.7453325144128842E-2</c:v>
                </c:pt>
                <c:pt idx="13">
                  <c:v>-6.7495196813993547E-2</c:v>
                </c:pt>
                <c:pt idx="14">
                  <c:v>-6.7536567398818262E-2</c:v>
                </c:pt>
                <c:pt idx="15">
                  <c:v>-6.7577418123221419E-2</c:v>
                </c:pt>
                <c:pt idx="16">
                  <c:v>-6.7617753976279074E-2</c:v>
                </c:pt>
                <c:pt idx="17">
                  <c:v>-6.7657595150905192E-2</c:v>
                </c:pt>
                <c:pt idx="18">
                  <c:v>-6.7695341697060415E-2</c:v>
                </c:pt>
                <c:pt idx="19">
                  <c:v>-6.7735673899704918E-2</c:v>
                </c:pt>
                <c:pt idx="20">
                  <c:v>-6.7773977325202919E-2</c:v>
                </c:pt>
                <c:pt idx="21">
                  <c:v>-6.7811773252657179E-2</c:v>
                </c:pt>
                <c:pt idx="22">
                  <c:v>-6.7849076808101941E-2</c:v>
                </c:pt>
                <c:pt idx="23">
                  <c:v>-6.7885903299824635E-2</c:v>
                </c:pt>
                <c:pt idx="24">
                  <c:v>-6.7922262198649816E-2</c:v>
                </c:pt>
                <c:pt idx="25">
                  <c:v>-6.7958168204285171E-2</c:v>
                </c:pt>
                <c:pt idx="26">
                  <c:v>-6.7993666809939984E-2</c:v>
                </c:pt>
                <c:pt idx="27">
                  <c:v>-6.8029507746558748E-2</c:v>
                </c:pt>
                <c:pt idx="28">
                  <c:v>-6.8064326983119386E-2</c:v>
                </c:pt>
                <c:pt idx="29">
                  <c:v>-6.8098778467984192E-2</c:v>
                </c:pt>
                <c:pt idx="30">
                  <c:v>-6.813264213718645E-2</c:v>
                </c:pt>
                <c:pt idx="31">
                  <c:v>-6.8165974227340886E-2</c:v>
                </c:pt>
                <c:pt idx="32">
                  <c:v>-6.8198964696364314E-2</c:v>
                </c:pt>
                <c:pt idx="33">
                  <c:v>-6.8231477303371021E-2</c:v>
                </c:pt>
                <c:pt idx="34">
                  <c:v>-6.826342167371996E-2</c:v>
                </c:pt>
                <c:pt idx="35">
                  <c:v>-6.8295100957982524E-2</c:v>
                </c:pt>
                <c:pt idx="36">
                  <c:v>-6.8326159835052538E-2</c:v>
                </c:pt>
                <c:pt idx="37">
                  <c:v>-6.8356686301740244E-2</c:v>
                </c:pt>
                <c:pt idx="38">
                  <c:v>-6.838666880248917E-2</c:v>
                </c:pt>
                <c:pt idx="39">
                  <c:v>-6.8416072485177948E-2</c:v>
                </c:pt>
                <c:pt idx="40">
                  <c:v>-6.8444773695119768E-2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38-4BFB-B559-19204BE1BE70}"/>
            </c:ext>
          </c:extLst>
        </c:ser>
        <c:ser>
          <c:idx val="4"/>
          <c:order val="4"/>
          <c:tx>
            <c:strRef>
              <c:f>'Force data'!$F$1</c:f>
              <c:strCache>
                <c:ptCount val="1"/>
                <c:pt idx="0">
                  <c:v>Force (bubble-model)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data'!$F$2:$F$42</c:f>
              <c:numCache>
                <c:formatCode>General</c:formatCode>
                <c:ptCount val="41"/>
                <c:pt idx="0">
                  <c:v>-0.18351022207197126</c:v>
                </c:pt>
                <c:pt idx="1">
                  <c:v>-0.49231958420420724</c:v>
                </c:pt>
                <c:pt idx="2">
                  <c:v>-0.67259746581289848</c:v>
                </c:pt>
                <c:pt idx="3">
                  <c:v>-0.6860405674951997</c:v>
                </c:pt>
                <c:pt idx="4">
                  <c:v>-0.63794576598504071</c:v>
                </c:pt>
                <c:pt idx="5">
                  <c:v>-0.58039345613185267</c:v>
                </c:pt>
                <c:pt idx="6">
                  <c:v>-0.52783122936957105</c:v>
                </c:pt>
                <c:pt idx="7">
                  <c:v>-0.4830021500754178</c:v>
                </c:pt>
                <c:pt idx="8">
                  <c:v>-0.44617887710952697</c:v>
                </c:pt>
                <c:pt idx="9">
                  <c:v>-0.41270886243245025</c:v>
                </c:pt>
                <c:pt idx="10">
                  <c:v>-0.38495300245023778</c:v>
                </c:pt>
                <c:pt idx="11">
                  <c:v>-0.36095732692549937</c:v>
                </c:pt>
                <c:pt idx="12">
                  <c:v>-0.33996676007412885</c:v>
                </c:pt>
                <c:pt idx="13">
                  <c:v>-0.32145493917399359</c:v>
                </c:pt>
                <c:pt idx="14">
                  <c:v>-0.30597137177881828</c:v>
                </c:pt>
                <c:pt idx="15">
                  <c:v>-0.29029541791322144</c:v>
                </c:pt>
                <c:pt idx="16">
                  <c:v>-0.27717926351627908</c:v>
                </c:pt>
                <c:pt idx="17">
                  <c:v>-0.26518758982090518</c:v>
                </c:pt>
                <c:pt idx="18">
                  <c:v>-0.2542330315770604</c:v>
                </c:pt>
                <c:pt idx="19">
                  <c:v>-0.24383146023970492</c:v>
                </c:pt>
                <c:pt idx="20">
                  <c:v>-0.23506304300520292</c:v>
                </c:pt>
                <c:pt idx="21">
                  <c:v>-0.22657219640265719</c:v>
                </c:pt>
                <c:pt idx="22">
                  <c:v>-0.21921734168810192</c:v>
                </c:pt>
                <c:pt idx="23">
                  <c:v>-0.21155981355982464</c:v>
                </c:pt>
                <c:pt idx="24">
                  <c:v>-0.20512396982864983</c:v>
                </c:pt>
                <c:pt idx="25">
                  <c:v>-0.19864123582428517</c:v>
                </c:pt>
                <c:pt idx="26">
                  <c:v>-0.19261380726993999</c:v>
                </c:pt>
                <c:pt idx="27">
                  <c:v>-0.18713426886655876</c:v>
                </c:pt>
                <c:pt idx="28">
                  <c:v>-0.18187930634311938</c:v>
                </c:pt>
                <c:pt idx="29">
                  <c:v>-0.17703066111798421</c:v>
                </c:pt>
                <c:pt idx="30">
                  <c:v>-0.17236876038718646</c:v>
                </c:pt>
                <c:pt idx="31">
                  <c:v>-0.16788080046034087</c:v>
                </c:pt>
                <c:pt idx="32">
                  <c:v>-0.16354532472936431</c:v>
                </c:pt>
                <c:pt idx="33">
                  <c:v>-0.15949225757837102</c:v>
                </c:pt>
                <c:pt idx="34">
                  <c:v>-0.15560466636971998</c:v>
                </c:pt>
                <c:pt idx="35">
                  <c:v>-0.15184678021198253</c:v>
                </c:pt>
                <c:pt idx="36">
                  <c:v>-6.8326159835052538E-2</c:v>
                </c:pt>
                <c:pt idx="37">
                  <c:v>-6.8356686301740244E-2</c:v>
                </c:pt>
                <c:pt idx="38">
                  <c:v>-6.838666880248917E-2</c:v>
                </c:pt>
                <c:pt idx="39">
                  <c:v>-6.8416072485177948E-2</c:v>
                </c:pt>
                <c:pt idx="40">
                  <c:v>-6.8444773695119768E-2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0B-4D71-9281-E2B89EEEA75E}"/>
            </c:ext>
          </c:extLst>
        </c:ser>
        <c:ser>
          <c:idx val="5"/>
          <c:order val="5"/>
          <c:tx>
            <c:strRef>
              <c:f>'Force data'!$G$1</c:f>
              <c:strCache>
                <c:ptCount val="1"/>
                <c:pt idx="0">
                  <c:v>Force (air)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data'!$G$2:$G$42</c:f>
              <c:numCache>
                <c:formatCode>General</c:formatCode>
                <c:ptCount val="41"/>
                <c:pt idx="0">
                  <c:v>-0.11660162781978971</c:v>
                </c:pt>
                <c:pt idx="1">
                  <c:v>-0.42536457162167757</c:v>
                </c:pt>
                <c:pt idx="2">
                  <c:v>-0.60559331269693917</c:v>
                </c:pt>
                <c:pt idx="3">
                  <c:v>-0.6189705643819815</c:v>
                </c:pt>
                <c:pt idx="4">
                  <c:v>-0.57083378638234084</c:v>
                </c:pt>
                <c:pt idx="5">
                  <c:v>-0.51324068278280033</c:v>
                </c:pt>
                <c:pt idx="6">
                  <c:v>-0.46063979444976882</c:v>
                </c:pt>
                <c:pt idx="7">
                  <c:v>-0.41575859336084869</c:v>
                </c:pt>
                <c:pt idx="8">
                  <c:v>-0.37889649630073979</c:v>
                </c:pt>
                <c:pt idx="9">
                  <c:v>-0.34538447835608066</c:v>
                </c:pt>
                <c:pt idx="10">
                  <c:v>-0.31757777753682598</c:v>
                </c:pt>
                <c:pt idx="11">
                  <c:v>-0.29353792740494056</c:v>
                </c:pt>
                <c:pt idx="12">
                  <c:v>-0.27250278613344359</c:v>
                </c:pt>
                <c:pt idx="13">
                  <c:v>-0.25394610050000171</c:v>
                </c:pt>
                <c:pt idx="14">
                  <c:v>-0.23841965682258606</c:v>
                </c:pt>
                <c:pt idx="15">
                  <c:v>-0.222705874850959</c:v>
                </c:pt>
                <c:pt idx="16">
                  <c:v>-0.20955273519618342</c:v>
                </c:pt>
                <c:pt idx="17">
                  <c:v>-0.19752077195178705</c:v>
                </c:pt>
                <c:pt idx="18">
                  <c:v>-0.18653054399209165</c:v>
                </c:pt>
                <c:pt idx="19">
                  <c:v>-0.17608983077010956</c:v>
                </c:pt>
                <c:pt idx="20">
                  <c:v>-0.16728364061435705</c:v>
                </c:pt>
                <c:pt idx="21">
                  <c:v>-0.15875591291703017</c:v>
                </c:pt>
                <c:pt idx="22">
                  <c:v>-0.15136434446105762</c:v>
                </c:pt>
                <c:pt idx="23">
                  <c:v>-0.14367070424015069</c:v>
                </c:pt>
                <c:pt idx="24">
                  <c:v>-0.13719959016356148</c:v>
                </c:pt>
                <c:pt idx="25">
                  <c:v>-0.13068136744465186</c:v>
                </c:pt>
                <c:pt idx="26">
                  <c:v>-0.12461904220017998</c:v>
                </c:pt>
                <c:pt idx="27">
                  <c:v>-0.11910394439240693</c:v>
                </c:pt>
                <c:pt idx="28">
                  <c:v>-0.11381243929164953</c:v>
                </c:pt>
                <c:pt idx="29">
                  <c:v>-0.1089315037106077</c:v>
                </c:pt>
                <c:pt idx="30">
                  <c:v>-0.10423575141160782</c:v>
                </c:pt>
                <c:pt idx="31">
                  <c:v>-9.9714468436928536E-2</c:v>
                </c:pt>
                <c:pt idx="32">
                  <c:v>-9.5346398381934913E-2</c:v>
                </c:pt>
                <c:pt idx="33">
                  <c:v>-9.1260586287944145E-2</c:v>
                </c:pt>
                <c:pt idx="34">
                  <c:v>-8.7341254655370765E-2</c:v>
                </c:pt>
                <c:pt idx="35">
                  <c:v>-8.355176008123491E-2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0B-4D71-9281-E2B89EEEA75E}"/>
            </c:ext>
          </c:extLst>
        </c:ser>
        <c:ser>
          <c:idx val="6"/>
          <c:order val="6"/>
          <c:tx>
            <c:strRef>
              <c:f>'Force data'!$H$1</c:f>
              <c:strCache>
                <c:ptCount val="1"/>
                <c:pt idx="0">
                  <c:v>Force (water)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data'!$H$2:$H$42</c:f>
              <c:numCache>
                <c:formatCode>General</c:formatCode>
                <c:ptCount val="41"/>
                <c:pt idx="0">
                  <c:v>-0.92254829145588191</c:v>
                </c:pt>
                <c:pt idx="1">
                  <c:v>-1.4313305078559311</c:v>
                </c:pt>
                <c:pt idx="2">
                  <c:v>-1.6198822631210408</c:v>
                </c:pt>
                <c:pt idx="3">
                  <c:v>-1.5319084584213298</c:v>
                </c:pt>
                <c:pt idx="4">
                  <c:v>-1.3675815088856063</c:v>
                </c:pt>
                <c:pt idx="5">
                  <c:v>-1.2088137825596583</c:v>
                </c:pt>
                <c:pt idx="6">
                  <c:v>-1.0758008926812215</c:v>
                </c:pt>
                <c:pt idx="7">
                  <c:v>-0.96591146794810978</c:v>
                </c:pt>
                <c:pt idx="8">
                  <c:v>-0.88545386784843927</c:v>
                </c:pt>
                <c:pt idx="9">
                  <c:v>-0.78929150670781179</c:v>
                </c:pt>
                <c:pt idx="10">
                  <c:v>-0.73455004594080664</c:v>
                </c:pt>
                <c:pt idx="11">
                  <c:v>-0.69143913409774871</c:v>
                </c:pt>
                <c:pt idx="12">
                  <c:v>-0.6294236526596102</c:v>
                </c:pt>
                <c:pt idx="13">
                  <c:v>-0.58716535417247007</c:v>
                </c:pt>
                <c:pt idx="14">
                  <c:v>-0.54919744447090546</c:v>
                </c:pt>
                <c:pt idx="15">
                  <c:v>-0.51514655049444891</c:v>
                </c:pt>
                <c:pt idx="16">
                  <c:v>-0.48474118013430645</c:v>
                </c:pt>
                <c:pt idx="17">
                  <c:v>-0.45746439382199272</c:v>
                </c:pt>
                <c:pt idx="18">
                  <c:v>-0.43266444818357291</c:v>
                </c:pt>
                <c:pt idx="19">
                  <c:v>-0.4097677888523768</c:v>
                </c:pt>
                <c:pt idx="20">
                  <c:v>-0.38887175589508088</c:v>
                </c:pt>
                <c:pt idx="21">
                  <c:v>-0.37091067243721942</c:v>
                </c:pt>
                <c:pt idx="22">
                  <c:v>-0.35338609035306934</c:v>
                </c:pt>
                <c:pt idx="23">
                  <c:v>-0.33727907040059851</c:v>
                </c:pt>
                <c:pt idx="24">
                  <c:v>-0.32192163620692371</c:v>
                </c:pt>
                <c:pt idx="25">
                  <c:v>-0.30628192750015093</c:v>
                </c:pt>
                <c:pt idx="26">
                  <c:v>-0.29287143973988355</c:v>
                </c:pt>
                <c:pt idx="27">
                  <c:v>-0.28542114139895625</c:v>
                </c:pt>
                <c:pt idx="28">
                  <c:v>-0.26759288562061589</c:v>
                </c:pt>
                <c:pt idx="29">
                  <c:v>-0.25549623385501274</c:v>
                </c:pt>
                <c:pt idx="30">
                  <c:v>-0.24604055667509769</c:v>
                </c:pt>
                <c:pt idx="31">
                  <c:v>-0.25329863748879672</c:v>
                </c:pt>
                <c:pt idx="32">
                  <c:v>-0.2257354812300601</c:v>
                </c:pt>
                <c:pt idx="33">
                  <c:v>-0.21669223311704455</c:v>
                </c:pt>
                <c:pt idx="34">
                  <c:v>-0.20834478946340981</c:v>
                </c:pt>
                <c:pt idx="35">
                  <c:v>-0.20020780922180911</c:v>
                </c:pt>
                <c:pt idx="36">
                  <c:v>-0.19237143257555517</c:v>
                </c:pt>
                <c:pt idx="37">
                  <c:v>-0.18494668250213006</c:v>
                </c:pt>
                <c:pt idx="38">
                  <c:v>-0.17884488350006206</c:v>
                </c:pt>
                <c:pt idx="39">
                  <c:v>-9.6958687905157621E-3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0B-4D71-9281-E2B89EEEA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687984"/>
        <c:axId val="91969172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'Force data'!$B$1</c15:sqref>
                        </c15:formulaRef>
                      </c:ext>
                    </c:extLst>
                    <c:strCache>
                      <c:ptCount val="1"/>
                      <c:pt idx="0">
                        <c:v>Force_hair_air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'Force data'!$A$2:$A$42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0.3</c:v>
                      </c:pt>
                      <c:pt idx="1">
                        <c:v>0.32500000000000001</c:v>
                      </c:pt>
                      <c:pt idx="2">
                        <c:v>0.35</c:v>
                      </c:pt>
                      <c:pt idx="3">
                        <c:v>0.375</c:v>
                      </c:pt>
                      <c:pt idx="4">
                        <c:v>0.4</c:v>
                      </c:pt>
                      <c:pt idx="5">
                        <c:v>0.42499999999999999</c:v>
                      </c:pt>
                      <c:pt idx="6">
                        <c:v>0.45</c:v>
                      </c:pt>
                      <c:pt idx="7">
                        <c:v>0.47499999999999998</c:v>
                      </c:pt>
                      <c:pt idx="8">
                        <c:v>0.5</c:v>
                      </c:pt>
                      <c:pt idx="9">
                        <c:v>0.52500000000000002</c:v>
                      </c:pt>
                      <c:pt idx="10">
                        <c:v>0.55000000000000004</c:v>
                      </c:pt>
                      <c:pt idx="11">
                        <c:v>0.57499999999999996</c:v>
                      </c:pt>
                      <c:pt idx="12">
                        <c:v>0.6</c:v>
                      </c:pt>
                      <c:pt idx="13">
                        <c:v>0.625</c:v>
                      </c:pt>
                      <c:pt idx="14">
                        <c:v>0.65</c:v>
                      </c:pt>
                      <c:pt idx="15">
                        <c:v>0.67500000000000004</c:v>
                      </c:pt>
                      <c:pt idx="16">
                        <c:v>0.7</c:v>
                      </c:pt>
                      <c:pt idx="17">
                        <c:v>0.72499999999999998</c:v>
                      </c:pt>
                      <c:pt idx="18">
                        <c:v>0.75</c:v>
                      </c:pt>
                      <c:pt idx="19">
                        <c:v>0.77500000000000002</c:v>
                      </c:pt>
                      <c:pt idx="20">
                        <c:v>0.8</c:v>
                      </c:pt>
                      <c:pt idx="21">
                        <c:v>0.82499999999999996</c:v>
                      </c:pt>
                      <c:pt idx="22">
                        <c:v>0.85</c:v>
                      </c:pt>
                      <c:pt idx="23">
                        <c:v>0.875</c:v>
                      </c:pt>
                      <c:pt idx="24">
                        <c:v>0.9</c:v>
                      </c:pt>
                      <c:pt idx="25">
                        <c:v>0.92500000000000004</c:v>
                      </c:pt>
                      <c:pt idx="26">
                        <c:v>0.95</c:v>
                      </c:pt>
                      <c:pt idx="27">
                        <c:v>0.97499999999999998</c:v>
                      </c:pt>
                      <c:pt idx="28">
                        <c:v>1</c:v>
                      </c:pt>
                      <c:pt idx="29">
                        <c:v>1.0249999999999999</c:v>
                      </c:pt>
                      <c:pt idx="30">
                        <c:v>1.05</c:v>
                      </c:pt>
                      <c:pt idx="31">
                        <c:v>1.075</c:v>
                      </c:pt>
                      <c:pt idx="32">
                        <c:v>1.1000000000000001</c:v>
                      </c:pt>
                      <c:pt idx="33">
                        <c:v>1.125</c:v>
                      </c:pt>
                      <c:pt idx="34">
                        <c:v>1.1499999999999999</c:v>
                      </c:pt>
                      <c:pt idx="35">
                        <c:v>1.175</c:v>
                      </c:pt>
                      <c:pt idx="36">
                        <c:v>1.2</c:v>
                      </c:pt>
                      <c:pt idx="37">
                        <c:v>1.2250000000000001</c:v>
                      </c:pt>
                      <c:pt idx="38">
                        <c:v>1.25</c:v>
                      </c:pt>
                      <c:pt idx="39">
                        <c:v>1.2749999999999999</c:v>
                      </c:pt>
                      <c:pt idx="40">
                        <c:v>1.3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'Force data'!$B$2:$B$42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-0.11660132125087609</c:v>
                      </c:pt>
                      <c:pt idx="1">
                        <c:v>-0.42536350096014708</c:v>
                      </c:pt>
                      <c:pt idx="2">
                        <c:v>-0.60559388835460282</c:v>
                      </c:pt>
                      <c:pt idx="3">
                        <c:v>-0.61898934131311578</c:v>
                      </c:pt>
                      <c:pt idx="4">
                        <c:v>-0.57084718769856868</c:v>
                      </c:pt>
                      <c:pt idx="5">
                        <c:v>-0.51324823019908405</c:v>
                      </c:pt>
                      <c:pt idx="6">
                        <c:v>-0.46064012567187312</c:v>
                      </c:pt>
                      <c:pt idx="7">
                        <c:v>-0.41576591917783012</c:v>
                      </c:pt>
                      <c:pt idx="8">
                        <c:v>-0.37889816758123984</c:v>
                      </c:pt>
                      <c:pt idx="9">
                        <c:v>-0.34538628438614183</c:v>
                      </c:pt>
                      <c:pt idx="10">
                        <c:v>-0.31758493310469704</c:v>
                      </c:pt>
                      <c:pt idx="11">
                        <c:v>-0.29354637288064811</c:v>
                      </c:pt>
                      <c:pt idx="12">
                        <c:v>-0.27251343492750074</c:v>
                      </c:pt>
                      <c:pt idx="13">
                        <c:v>-0.25395974235933144</c:v>
                      </c:pt>
                      <c:pt idx="14">
                        <c:v>-0.23843480438067871</c:v>
                      </c:pt>
                      <c:pt idx="15">
                        <c:v>-0.22271799978657084</c:v>
                      </c:pt>
                      <c:pt idx="16">
                        <c:v>-0.20956150954160535</c:v>
                      </c:pt>
                      <c:pt idx="17">
                        <c:v>-0.1975299946721516</c:v>
                      </c:pt>
                      <c:pt idx="18">
                        <c:v>-0.18653768988238018</c:v>
                      </c:pt>
                      <c:pt idx="19">
                        <c:v>-0.17609578633842216</c:v>
                      </c:pt>
                      <c:pt idx="20">
                        <c:v>-0.16728906567828891</c:v>
                      </c:pt>
                      <c:pt idx="21">
                        <c:v>-0.15876042315080019</c:v>
                      </c:pt>
                      <c:pt idx="22">
                        <c:v>-0.15136826487748337</c:v>
                      </c:pt>
                      <c:pt idx="23">
                        <c:v>-0.1436739102582528</c:v>
                      </c:pt>
                      <c:pt idx="24">
                        <c:v>-0.137201707628826</c:v>
                      </c:pt>
                      <c:pt idx="25">
                        <c:v>-0.13068306762004211</c:v>
                      </c:pt>
                      <c:pt idx="26">
                        <c:v>-0.12462014045851572</c:v>
                      </c:pt>
                      <c:pt idx="27">
                        <c:v>-0.11910476112075841</c:v>
                      </c:pt>
                      <c:pt idx="28">
                        <c:v>-0.11381497935542668</c:v>
                      </c:pt>
                      <c:pt idx="29">
                        <c:v>-0.10893188264778027</c:v>
                      </c:pt>
                      <c:pt idx="30">
                        <c:v>-0.1042361182514316</c:v>
                      </c:pt>
                      <c:pt idx="31">
                        <c:v>-9.9714826232560394E-2</c:v>
                      </c:pt>
                      <c:pt idx="32">
                        <c:v>-9.5346360032544014E-2</c:v>
                      </c:pt>
                      <c:pt idx="33">
                        <c:v>-9.1260780274924069E-2</c:v>
                      </c:pt>
                      <c:pt idx="34">
                        <c:v>-8.7341244696220247E-2</c:v>
                      </c:pt>
                      <c:pt idx="35">
                        <c:v>-8.3551679253865502E-2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338-4BFB-B559-19204BE1BE70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'Force data'!$C$1</c15:sqref>
                        </c15:formulaRef>
                      </c:ext>
                    </c:extLst>
                    <c:strCache>
                      <c:ptCount val="1"/>
                      <c:pt idx="0">
                        <c:v>Force_hair_water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'Force data'!$A$2:$A$42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0.3</c:v>
                      </c:pt>
                      <c:pt idx="1">
                        <c:v>0.32500000000000001</c:v>
                      </c:pt>
                      <c:pt idx="2">
                        <c:v>0.35</c:v>
                      </c:pt>
                      <c:pt idx="3">
                        <c:v>0.375</c:v>
                      </c:pt>
                      <c:pt idx="4">
                        <c:v>0.4</c:v>
                      </c:pt>
                      <c:pt idx="5">
                        <c:v>0.42499999999999999</c:v>
                      </c:pt>
                      <c:pt idx="6">
                        <c:v>0.45</c:v>
                      </c:pt>
                      <c:pt idx="7">
                        <c:v>0.47499999999999998</c:v>
                      </c:pt>
                      <c:pt idx="8">
                        <c:v>0.5</c:v>
                      </c:pt>
                      <c:pt idx="9">
                        <c:v>0.52500000000000002</c:v>
                      </c:pt>
                      <c:pt idx="10">
                        <c:v>0.55000000000000004</c:v>
                      </c:pt>
                      <c:pt idx="11">
                        <c:v>0.57499999999999996</c:v>
                      </c:pt>
                      <c:pt idx="12">
                        <c:v>0.6</c:v>
                      </c:pt>
                      <c:pt idx="13">
                        <c:v>0.625</c:v>
                      </c:pt>
                      <c:pt idx="14">
                        <c:v>0.65</c:v>
                      </c:pt>
                      <c:pt idx="15">
                        <c:v>0.67500000000000004</c:v>
                      </c:pt>
                      <c:pt idx="16">
                        <c:v>0.7</c:v>
                      </c:pt>
                      <c:pt idx="17">
                        <c:v>0.72499999999999998</c:v>
                      </c:pt>
                      <c:pt idx="18">
                        <c:v>0.75</c:v>
                      </c:pt>
                      <c:pt idx="19">
                        <c:v>0.77500000000000002</c:v>
                      </c:pt>
                      <c:pt idx="20">
                        <c:v>0.8</c:v>
                      </c:pt>
                      <c:pt idx="21">
                        <c:v>0.82499999999999996</c:v>
                      </c:pt>
                      <c:pt idx="22">
                        <c:v>0.85</c:v>
                      </c:pt>
                      <c:pt idx="23">
                        <c:v>0.875</c:v>
                      </c:pt>
                      <c:pt idx="24">
                        <c:v>0.9</c:v>
                      </c:pt>
                      <c:pt idx="25">
                        <c:v>0.92500000000000004</c:v>
                      </c:pt>
                      <c:pt idx="26">
                        <c:v>0.95</c:v>
                      </c:pt>
                      <c:pt idx="27">
                        <c:v>0.97499999999999998</c:v>
                      </c:pt>
                      <c:pt idx="28">
                        <c:v>1</c:v>
                      </c:pt>
                      <c:pt idx="29">
                        <c:v>1.0249999999999999</c:v>
                      </c:pt>
                      <c:pt idx="30">
                        <c:v>1.05</c:v>
                      </c:pt>
                      <c:pt idx="31">
                        <c:v>1.075</c:v>
                      </c:pt>
                      <c:pt idx="32">
                        <c:v>1.1000000000000001</c:v>
                      </c:pt>
                      <c:pt idx="33">
                        <c:v>1.125</c:v>
                      </c:pt>
                      <c:pt idx="34">
                        <c:v>1.1499999999999999</c:v>
                      </c:pt>
                      <c:pt idx="35">
                        <c:v>1.175</c:v>
                      </c:pt>
                      <c:pt idx="36">
                        <c:v>1.2</c:v>
                      </c:pt>
                      <c:pt idx="37">
                        <c:v>1.2250000000000001</c:v>
                      </c:pt>
                      <c:pt idx="38">
                        <c:v>1.25</c:v>
                      </c:pt>
                      <c:pt idx="39">
                        <c:v>1.2749999999999999</c:v>
                      </c:pt>
                      <c:pt idx="40">
                        <c:v>1.3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'Force data'!$C$2:$C$42</c15:sqref>
                        </c15:formulaRef>
                      </c:ext>
                    </c:extLst>
                    <c:numCache>
                      <c:formatCode>General</c:formatCode>
                      <c:ptCount val="4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338-4BFB-B559-19204BE1BE70}"/>
                  </c:ext>
                </c:extLst>
              </c15:ser>
            </c15:filteredScatterSeries>
          </c:ext>
        </c:extLst>
      </c:scatterChart>
      <c:valAx>
        <c:axId val="91968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691728"/>
        <c:crosses val="autoZero"/>
        <c:crossBetween val="midCat"/>
      </c:valAx>
      <c:valAx>
        <c:axId val="919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687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022985890808591E-2"/>
          <c:y val="0.92769020203078612"/>
          <c:w val="0.94461765313043733"/>
          <c:h val="6.3802011815682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9</xdr:row>
          <xdr:rowOff>95250</xdr:rowOff>
        </xdr:from>
        <xdr:to>
          <xdr:col>2</xdr:col>
          <xdr:colOff>428625</xdr:colOff>
          <xdr:row>11</xdr:row>
          <xdr:rowOff>114300</xdr:rowOff>
        </xdr:to>
        <xdr:sp macro="" textlink="">
          <xdr:nvSpPr>
            <xdr:cNvPr id="1027" name="Fluid dat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Fluid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9</xdr:row>
          <xdr:rowOff>57150</xdr:rowOff>
        </xdr:from>
        <xdr:to>
          <xdr:col>4</xdr:col>
          <xdr:colOff>428625</xdr:colOff>
          <xdr:row>11</xdr:row>
          <xdr:rowOff>123825</xdr:rowOff>
        </xdr:to>
        <xdr:sp macro="" textlink="">
          <xdr:nvSpPr>
            <xdr:cNvPr id="1028" name="Bubble dat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Bubble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7</xdr:row>
          <xdr:rowOff>161925</xdr:rowOff>
        </xdr:from>
        <xdr:to>
          <xdr:col>7</xdr:col>
          <xdr:colOff>142875</xdr:colOff>
          <xdr:row>9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85724</xdr:colOff>
      <xdr:row>0</xdr:row>
      <xdr:rowOff>76199</xdr:rowOff>
    </xdr:from>
    <xdr:to>
      <xdr:col>18</xdr:col>
      <xdr:colOff>104775</xdr:colOff>
      <xdr:row>25</xdr:row>
      <xdr:rowOff>171450</xdr:rowOff>
    </xdr:to>
    <xdr:graphicFrame macro="">
      <xdr:nvGraphicFramePr>
        <xdr:cNvPr id="6" name="Main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21</xdr:row>
          <xdr:rowOff>19050</xdr:rowOff>
        </xdr:from>
        <xdr:to>
          <xdr:col>7</xdr:col>
          <xdr:colOff>171450</xdr:colOff>
          <xdr:row>23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7"/>
  <sheetViews>
    <sheetView tabSelected="1" workbookViewId="0"/>
  </sheetViews>
  <sheetFormatPr defaultRowHeight="15" x14ac:dyDescent="0.25"/>
  <cols>
    <col min="1" max="1" width="15.140625" bestFit="1" customWidth="1"/>
    <col min="2" max="3" width="9.140625" customWidth="1"/>
    <col min="4" max="4" width="10.5703125" bestFit="1" customWidth="1"/>
    <col min="7" max="7" width="24.5703125" bestFit="1" customWidth="1"/>
  </cols>
  <sheetData>
    <row r="1" spans="1:8" ht="15.75" thickBot="1" x14ac:dyDescent="0.3">
      <c r="A1" s="2"/>
      <c r="B1" s="26" t="s">
        <v>3</v>
      </c>
      <c r="C1" s="27"/>
      <c r="D1" s="26" t="s">
        <v>4</v>
      </c>
      <c r="E1" s="27"/>
      <c r="G1" s="2" t="s">
        <v>41</v>
      </c>
      <c r="H1" s="11">
        <v>0.2</v>
      </c>
    </row>
    <row r="2" spans="1:8" x14ac:dyDescent="0.25">
      <c r="A2" s="25" t="s">
        <v>2</v>
      </c>
      <c r="B2" s="10" t="s">
        <v>5</v>
      </c>
      <c r="C2" s="3">
        <v>24</v>
      </c>
      <c r="D2" s="10" t="s">
        <v>7</v>
      </c>
      <c r="E2" s="4">
        <f>C2*H5</f>
        <v>72</v>
      </c>
      <c r="G2" s="6" t="s">
        <v>54</v>
      </c>
      <c r="H2" s="5">
        <v>50</v>
      </c>
    </row>
    <row r="3" spans="1:8" x14ac:dyDescent="0.25">
      <c r="A3" s="25"/>
      <c r="B3" s="10" t="s">
        <v>6</v>
      </c>
      <c r="C3" s="4">
        <f>C2*H4</f>
        <v>48</v>
      </c>
      <c r="D3" s="6"/>
      <c r="E3" s="4"/>
      <c r="G3" s="6" t="s">
        <v>42</v>
      </c>
      <c r="H3" s="5">
        <v>10</v>
      </c>
    </row>
    <row r="4" spans="1:8" x14ac:dyDescent="0.25">
      <c r="A4" s="25" t="s">
        <v>8</v>
      </c>
      <c r="B4" s="10" t="s">
        <v>9</v>
      </c>
      <c r="C4" s="5">
        <v>50</v>
      </c>
      <c r="D4" s="10" t="s">
        <v>11</v>
      </c>
      <c r="E4" s="5">
        <v>120</v>
      </c>
      <c r="G4" s="6" t="s">
        <v>60</v>
      </c>
      <c r="H4" s="5">
        <v>2</v>
      </c>
    </row>
    <row r="5" spans="1:8" x14ac:dyDescent="0.25">
      <c r="A5" s="25"/>
      <c r="B5" s="10" t="s">
        <v>10</v>
      </c>
      <c r="C5" s="4">
        <f>INT(IF(AND(((C2*COS(C4*PI()/180))-(E2*COS(E4*PI()/180)))/C3&lt;=1,((C2*COS(C4*PI()/180))-(E2*COS(E4*PI()/180)))/C3&gt;=-1),180*ACOS(((C2*COS(C4*PI()/180))-(E2*COS(E4*PI()/180)))/C3)/PI(),IF(((C2*COS(C4*PI()/180))-(E2*COS(E4*PI()/180)))/C3&lt;-1,179,1)))</f>
        <v>1</v>
      </c>
      <c r="D5" s="6"/>
      <c r="E5" s="4"/>
      <c r="G5" s="6" t="s">
        <v>61</v>
      </c>
      <c r="H5" s="5">
        <v>3</v>
      </c>
    </row>
    <row r="6" spans="1:8" ht="15.75" thickBot="1" x14ac:dyDescent="0.3">
      <c r="A6" s="6" t="s">
        <v>12</v>
      </c>
      <c r="B6" s="10" t="s">
        <v>13</v>
      </c>
      <c r="C6" s="31">
        <v>9.9999999999999995E-7</v>
      </c>
      <c r="D6" s="10" t="s">
        <v>14</v>
      </c>
      <c r="E6" s="4">
        <f>C6*H6</f>
        <v>6.6666666666666656E-5</v>
      </c>
      <c r="G6" s="7" t="s">
        <v>44</v>
      </c>
      <c r="H6" s="9">
        <f>(B13/D13)*H2</f>
        <v>66.666666666666657</v>
      </c>
    </row>
    <row r="7" spans="1:8" x14ac:dyDescent="0.25">
      <c r="A7" s="6" t="s">
        <v>15</v>
      </c>
      <c r="B7" s="10" t="s">
        <v>55</v>
      </c>
      <c r="C7" s="4">
        <f>4/3*PI()*C6^3</f>
        <v>4.1887902047863904E-18</v>
      </c>
      <c r="D7" s="6" t="s">
        <v>56</v>
      </c>
      <c r="E7" s="4">
        <f>4/3*PI()*E6^3</f>
        <v>1.2411230236404115E-12</v>
      </c>
    </row>
    <row r="8" spans="1:8" x14ac:dyDescent="0.25">
      <c r="A8" s="6" t="s">
        <v>57</v>
      </c>
      <c r="B8" s="6">
        <v>0.3</v>
      </c>
      <c r="C8" s="4">
        <v>1.3</v>
      </c>
      <c r="D8" s="15">
        <f>ROUND((2*H3*B13+B8)/H6,6)</f>
        <v>0.60450000000000004</v>
      </c>
      <c r="E8" s="16">
        <f>ROUND((2*H3*B13+C8)/H6,6)</f>
        <v>0.61950000000000005</v>
      </c>
    </row>
    <row r="9" spans="1:8" ht="15.75" thickBot="1" x14ac:dyDescent="0.3">
      <c r="A9" s="7" t="s">
        <v>63</v>
      </c>
      <c r="B9" s="7">
        <v>2.5000000000000001E-2</v>
      </c>
      <c r="C9" s="9"/>
      <c r="D9" s="20">
        <f>B9/H6</f>
        <v>3.7500000000000006E-4</v>
      </c>
      <c r="E9" s="9"/>
    </row>
    <row r="10" spans="1:8" x14ac:dyDescent="0.25">
      <c r="A10" s="28" t="s">
        <v>65</v>
      </c>
      <c r="B10" s="6"/>
      <c r="C10" s="4"/>
      <c r="D10" s="6"/>
      <c r="E10" s="4"/>
    </row>
    <row r="11" spans="1:8" ht="15.75" thickBot="1" x14ac:dyDescent="0.3">
      <c r="A11" s="29"/>
      <c r="B11" s="6"/>
      <c r="C11" s="4"/>
      <c r="D11" s="6"/>
      <c r="E11" s="4"/>
    </row>
    <row r="12" spans="1:8" ht="15.75" thickBot="1" x14ac:dyDescent="0.3">
      <c r="A12" s="30"/>
      <c r="B12" s="7"/>
      <c r="C12" s="9"/>
      <c r="D12" s="7"/>
      <c r="E12" s="9"/>
      <c r="G12" s="2" t="s">
        <v>70</v>
      </c>
      <c r="H12" s="12">
        <f>C2*B14/C6</f>
        <v>24000000000000</v>
      </c>
    </row>
    <row r="13" spans="1:8" x14ac:dyDescent="0.25">
      <c r="A13" s="6" t="s">
        <v>39</v>
      </c>
      <c r="B13" s="6">
        <v>2</v>
      </c>
      <c r="C13" s="4"/>
      <c r="D13" s="6">
        <v>1.5</v>
      </c>
      <c r="E13" s="4"/>
      <c r="G13" s="6" t="s">
        <v>73</v>
      </c>
      <c r="H13" s="13">
        <f>B13*C6*2</f>
        <v>3.9999999999999998E-6</v>
      </c>
    </row>
    <row r="14" spans="1:8" x14ac:dyDescent="0.25">
      <c r="A14" s="6" t="s">
        <v>71</v>
      </c>
      <c r="B14" s="6">
        <v>1000000</v>
      </c>
      <c r="C14" s="4"/>
      <c r="D14" s="6">
        <v>1000000</v>
      </c>
      <c r="E14" s="4"/>
      <c r="G14" s="6" t="s">
        <v>74</v>
      </c>
      <c r="H14" s="13">
        <f>D13*E6*2</f>
        <v>1.9999999999999998E-4</v>
      </c>
    </row>
    <row r="15" spans="1:8" x14ac:dyDescent="0.25">
      <c r="A15" s="6" t="s">
        <v>40</v>
      </c>
      <c r="B15" s="6">
        <v>1</v>
      </c>
      <c r="C15" s="4"/>
      <c r="D15" s="6">
        <v>1</v>
      </c>
      <c r="E15" s="4"/>
      <c r="G15" s="6" t="s">
        <v>45</v>
      </c>
      <c r="H15" s="4">
        <f>H1*(H14^2)/(H13^2)</f>
        <v>499.99999999999994</v>
      </c>
    </row>
    <row r="16" spans="1:8" ht="15.75" thickBot="1" x14ac:dyDescent="0.3">
      <c r="A16" s="6" t="s">
        <v>43</v>
      </c>
      <c r="B16" s="6">
        <f>H3*2*B13*C6</f>
        <v>3.9999999999999996E-5</v>
      </c>
      <c r="C16" s="4"/>
      <c r="D16" s="6">
        <f>B16/E6</f>
        <v>0.60000000000000009</v>
      </c>
      <c r="E16" s="4"/>
      <c r="G16" s="18" t="s">
        <v>72</v>
      </c>
      <c r="H16" s="19">
        <f>H13*H3</f>
        <v>3.9999999999999996E-5</v>
      </c>
    </row>
    <row r="17" spans="1:8" x14ac:dyDescent="0.25">
      <c r="A17" s="6" t="s">
        <v>52</v>
      </c>
      <c r="B17" s="6" t="s">
        <v>78</v>
      </c>
      <c r="C17" s="4" t="s">
        <v>53</v>
      </c>
      <c r="D17" s="6" t="s">
        <v>79</v>
      </c>
      <c r="E17" s="4" t="s">
        <v>53</v>
      </c>
      <c r="G17" s="17" t="s">
        <v>66</v>
      </c>
      <c r="H17" s="4"/>
    </row>
    <row r="18" spans="1:8" ht="15.75" thickBot="1" x14ac:dyDescent="0.3">
      <c r="A18" s="7" t="s">
        <v>57</v>
      </c>
      <c r="B18" s="7">
        <f>MIN('Fluid data'!F:F)</f>
        <v>0.3</v>
      </c>
      <c r="C18" s="9">
        <f>MAX('Fluid data'!F:F)</f>
        <v>1.3</v>
      </c>
      <c r="D18" s="7">
        <f>MIN('Bubble data'!F:F)</f>
        <v>0.60450000000000004</v>
      </c>
      <c r="E18" s="9">
        <f>MAX('Bubble data'!F:F)</f>
        <v>0.61950000000000005</v>
      </c>
      <c r="G18" s="6" t="s">
        <v>67</v>
      </c>
      <c r="H18" s="4">
        <f>MIN('Force data'!G:G)</f>
        <v>-0.6189705643819815</v>
      </c>
    </row>
    <row r="19" spans="1:8" x14ac:dyDescent="0.25">
      <c r="G19" s="6" t="s">
        <v>68</v>
      </c>
      <c r="H19" s="4">
        <f>MIN('Force data'!H:H)</f>
        <v>-1.6198822631210408</v>
      </c>
    </row>
    <row r="20" spans="1:8" ht="15.75" thickBot="1" x14ac:dyDescent="0.3">
      <c r="G20" s="7" t="s">
        <v>69</v>
      </c>
      <c r="H20" s="9">
        <f>MIN('Force data'!F:F)</f>
        <v>-0.6860405674951997</v>
      </c>
    </row>
    <row r="21" spans="1:8" x14ac:dyDescent="0.25">
      <c r="A21" s="2" t="s">
        <v>62</v>
      </c>
      <c r="B21" s="23" t="str">
        <f>"D/d="&amp;H2&amp;" , "&amp;B4&amp;"="&amp;C4&amp;" , "&amp;D4&amp;"="&amp;E4</f>
        <v>D/d=50 , θ-fa=50 , θ-wa=120</v>
      </c>
      <c r="C21" s="23"/>
      <c r="D21" s="24"/>
    </row>
    <row r="22" spans="1:8" ht="15.75" thickBot="1" x14ac:dyDescent="0.3">
      <c r="A22" s="7" t="s">
        <v>64</v>
      </c>
      <c r="B22" s="14">
        <v>1E-4</v>
      </c>
      <c r="C22" s="8"/>
      <c r="D22" s="9"/>
    </row>
    <row r="25" spans="1:8" x14ac:dyDescent="0.25">
      <c r="D25" s="22"/>
      <c r="G25" s="21"/>
    </row>
    <row r="26" spans="1:8" x14ac:dyDescent="0.25">
      <c r="G26" s="21"/>
    </row>
    <row r="27" spans="1:8" x14ac:dyDescent="0.25">
      <c r="E27" s="22"/>
    </row>
  </sheetData>
  <mergeCells count="6">
    <mergeCell ref="B21:D21"/>
    <mergeCell ref="A2:A3"/>
    <mergeCell ref="A4:A5"/>
    <mergeCell ref="B1:C1"/>
    <mergeCell ref="D1:E1"/>
    <mergeCell ref="A10:A12"/>
  </mergeCells>
  <conditionalFormatting sqref="G18:G20">
    <cfRule type="expression" dxfId="2" priority="3">
      <formula>OFFSET(G18,0,1)=MIN($H$18:$H$20)</formula>
    </cfRule>
  </conditionalFormatting>
  <conditionalFormatting sqref="D8">
    <cfRule type="cellIs" dxfId="1" priority="2" operator="notEqual">
      <formula>$D$18</formula>
    </cfRule>
  </conditionalFormatting>
  <conditionalFormatting sqref="E8">
    <cfRule type="cellIs" dxfId="0" priority="1" operator="notEqual">
      <formula>$E$18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Fluid data">
              <controlPr defaultSize="0" print="0" autoFill="0" autoPict="0" macro="[0]!importData">
                <anchor moveWithCells="1" sizeWithCells="1">
                  <from>
                    <xdr:col>1</xdr:col>
                    <xdr:colOff>133350</xdr:colOff>
                    <xdr:row>9</xdr:row>
                    <xdr:rowOff>95250</xdr:rowOff>
                  </from>
                  <to>
                    <xdr:col>2</xdr:col>
                    <xdr:colOff>428625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bble data">
              <controlPr defaultSize="0" print="0" autoFill="0" autoPict="0" macro="[0]!importData">
                <anchor moveWithCells="1" sizeWithCells="1">
                  <from>
                    <xdr:col>3</xdr:col>
                    <xdr:colOff>95250</xdr:colOff>
                    <xdr:row>9</xdr:row>
                    <xdr:rowOff>57150</xdr:rowOff>
                  </from>
                  <to>
                    <xdr:col>4</xdr:col>
                    <xdr:colOff>428625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nerateForce">
                <anchor moveWithCells="1" sizeWithCells="1">
                  <from>
                    <xdr:col>6</xdr:col>
                    <xdr:colOff>523875</xdr:colOff>
                    <xdr:row>7</xdr:row>
                    <xdr:rowOff>161925</xdr:rowOff>
                  </from>
                  <to>
                    <xdr:col>7</xdr:col>
                    <xdr:colOff>142875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DataToTemplate">
                <anchor moveWithCells="1" sizeWithCells="1">
                  <from>
                    <xdr:col>6</xdr:col>
                    <xdr:colOff>495300</xdr:colOff>
                    <xdr:row>21</xdr:row>
                    <xdr:rowOff>19050</xdr:rowOff>
                  </from>
                  <to>
                    <xdr:col>7</xdr:col>
                    <xdr:colOff>171450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2"/>
  <sheetViews>
    <sheetView workbookViewId="0"/>
  </sheetViews>
  <sheetFormatPr defaultRowHeight="15" x14ac:dyDescent="0.25"/>
  <cols>
    <col min="1" max="1" width="6.85546875" bestFit="1" customWidth="1"/>
    <col min="2" max="4" width="13.42578125" customWidth="1"/>
    <col min="5" max="5" width="13.5703125" customWidth="1"/>
    <col min="6" max="6" width="12.7109375" customWidth="1"/>
    <col min="7" max="8" width="13.42578125" customWidth="1"/>
    <col min="9" max="9" width="19.28515625" bestFit="1" customWidth="1"/>
  </cols>
  <sheetData>
    <row r="1" spans="1:11" x14ac:dyDescent="0.25">
      <c r="A1" t="s">
        <v>0</v>
      </c>
      <c r="B1" t="s">
        <v>49</v>
      </c>
      <c r="C1" t="s">
        <v>50</v>
      </c>
      <c r="D1" t="s">
        <v>51</v>
      </c>
      <c r="E1" t="s">
        <v>1</v>
      </c>
      <c r="F1" t="s">
        <v>48</v>
      </c>
      <c r="G1" t="s">
        <v>47</v>
      </c>
      <c r="H1" t="s">
        <v>46</v>
      </c>
      <c r="I1" t="s">
        <v>75</v>
      </c>
      <c r="J1" t="s">
        <v>76</v>
      </c>
      <c r="K1" t="s">
        <v>77</v>
      </c>
    </row>
    <row r="2" spans="1:11" x14ac:dyDescent="0.25">
      <c r="A2">
        <v>0.3</v>
      </c>
      <c r="B2">
        <v>-0.11660132125087609</v>
      </c>
      <c r="D2">
        <v>-0.11660132125</v>
      </c>
      <c r="E2">
        <v>-6.6908900821971262E-2</v>
      </c>
      <c r="F2">
        <v>-0.18351022207197126</v>
      </c>
      <c r="G2">
        <v>-0.11660162781978971</v>
      </c>
      <c r="H2">
        <v>-0.92254829145588191</v>
      </c>
      <c r="I2">
        <v>3.3994272275515036E-8</v>
      </c>
      <c r="J2">
        <v>3.1365401035623303E-8</v>
      </c>
      <c r="K2">
        <v>6.2730967003458512E-9</v>
      </c>
    </row>
    <row r="3" spans="1:11" x14ac:dyDescent="0.25">
      <c r="A3">
        <v>0.32500000000000001</v>
      </c>
      <c r="B3">
        <v>-0.42536350096014708</v>
      </c>
      <c r="D3">
        <v>-0.42536350095999997</v>
      </c>
      <c r="E3">
        <v>-6.6956083244207251E-2</v>
      </c>
      <c r="F3">
        <v>-0.49231958420420724</v>
      </c>
      <c r="G3">
        <v>-0.42536457162167757</v>
      </c>
      <c r="H3">
        <v>-1.4313305078559311</v>
      </c>
      <c r="I3">
        <v>3.3966286728699791E-8</v>
      </c>
      <c r="J3">
        <v>3.136540027509695E-8</v>
      </c>
      <c r="K3">
        <v>6.2730958446803999E-9</v>
      </c>
    </row>
    <row r="4" spans="1:11" x14ac:dyDescent="0.25">
      <c r="A4">
        <v>0.35</v>
      </c>
      <c r="B4">
        <v>-0.60559388835460282</v>
      </c>
      <c r="D4">
        <v>-0.60559388835000005</v>
      </c>
      <c r="E4">
        <v>-6.7003577462898437E-2</v>
      </c>
      <c r="F4">
        <v>-0.67259746581289848</v>
      </c>
      <c r="G4">
        <v>-0.60559331269693917</v>
      </c>
      <c r="H4">
        <v>-1.6198822631210408</v>
      </c>
      <c r="I4">
        <v>3.3938344513173878E-8</v>
      </c>
      <c r="J4">
        <v>3.1365399502045614E-8</v>
      </c>
      <c r="K4">
        <v>6.2730739374253506E-9</v>
      </c>
    </row>
    <row r="5" spans="1:11" x14ac:dyDescent="0.25">
      <c r="A5">
        <v>0.375</v>
      </c>
      <c r="B5">
        <v>-0.61898934131311578</v>
      </c>
      <c r="D5">
        <v>-0.61898934131000005</v>
      </c>
      <c r="E5">
        <v>-6.705122618519968E-2</v>
      </c>
      <c r="F5">
        <v>-0.6860405674951997</v>
      </c>
      <c r="G5">
        <v>-0.6189705643819815</v>
      </c>
      <c r="H5">
        <v>-1.5319084584213298</v>
      </c>
      <c r="I5">
        <v>3.3910446648295784E-8</v>
      </c>
      <c r="J5">
        <v>3.1365398716377392E-8</v>
      </c>
      <c r="K5">
        <v>6.2728894505216504E-9</v>
      </c>
    </row>
    <row r="6" spans="1:11" x14ac:dyDescent="0.25">
      <c r="A6">
        <v>0.4</v>
      </c>
      <c r="B6">
        <v>-0.57084718769856868</v>
      </c>
      <c r="D6">
        <v>-0.57084718769999998</v>
      </c>
      <c r="E6">
        <v>-6.7098578285040761E-2</v>
      </c>
      <c r="F6">
        <v>-0.63794576598504071</v>
      </c>
      <c r="G6">
        <v>-0.57083378638234084</v>
      </c>
      <c r="H6">
        <v>-1.3675815088856063</v>
      </c>
      <c r="I6">
        <v>3.3882593390878189E-8</v>
      </c>
      <c r="J6">
        <v>3.1365397921973526E-8</v>
      </c>
      <c r="K6">
        <v>6.2729323163953998E-9</v>
      </c>
    </row>
    <row r="7" spans="1:11" x14ac:dyDescent="0.25">
      <c r="A7">
        <v>0.42499999999999999</v>
      </c>
      <c r="B7">
        <v>-0.51324823019908405</v>
      </c>
      <c r="D7">
        <v>-0.51324823019999999</v>
      </c>
      <c r="E7">
        <v>-6.7145225931852709E-2</v>
      </c>
      <c r="F7">
        <v>-0.58039345613185267</v>
      </c>
      <c r="G7">
        <v>-0.51324068278280033</v>
      </c>
      <c r="H7">
        <v>-1.2088137825596583</v>
      </c>
      <c r="I7">
        <v>3.3854784691409124E-8</v>
      </c>
      <c r="J7">
        <v>3.1365397123047127E-8</v>
      </c>
      <c r="K7">
        <v>6.2729871777413012E-9</v>
      </c>
    </row>
    <row r="8" spans="1:11" x14ac:dyDescent="0.25">
      <c r="A8">
        <v>0.45</v>
      </c>
      <c r="B8">
        <v>-0.46064012567187312</v>
      </c>
      <c r="D8">
        <v>-0.46064012567000001</v>
      </c>
      <c r="E8">
        <v>-6.7191103699570986E-2</v>
      </c>
      <c r="F8">
        <v>-0.52783122936957105</v>
      </c>
      <c r="G8">
        <v>-0.46063979444976882</v>
      </c>
      <c r="H8">
        <v>-1.0758008926812215</v>
      </c>
      <c r="I8">
        <v>3.3827020510818276E-8</v>
      </c>
      <c r="J8">
        <v>3.136539632220908E-8</v>
      </c>
      <c r="K8">
        <v>6.2730747538002009E-9</v>
      </c>
    </row>
    <row r="9" spans="1:11" x14ac:dyDescent="0.25">
      <c r="A9">
        <v>0.47499999999999998</v>
      </c>
      <c r="B9">
        <v>-0.41576591917783012</v>
      </c>
      <c r="D9">
        <v>-0.41576591918</v>
      </c>
      <c r="E9">
        <v>-6.7236230895417803E-2</v>
      </c>
      <c r="F9">
        <v>-0.4830021500754178</v>
      </c>
      <c r="G9">
        <v>-0.41575859336084869</v>
      </c>
      <c r="H9">
        <v>-0.96591146794810978</v>
      </c>
      <c r="I9">
        <v>3.3799300845814325E-8</v>
      </c>
      <c r="J9">
        <v>3.1365395520498014E-8</v>
      </c>
      <c r="K9">
        <v>6.2729685721216005E-9</v>
      </c>
    </row>
    <row r="10" spans="1:11" x14ac:dyDescent="0.25">
      <c r="A10">
        <v>0.5</v>
      </c>
      <c r="B10">
        <v>-0.37889816758123984</v>
      </c>
      <c r="D10">
        <v>-0.37889816758</v>
      </c>
      <c r="E10">
        <v>-6.7280709529526958E-2</v>
      </c>
      <c r="F10">
        <v>-0.44617887710952697</v>
      </c>
      <c r="G10">
        <v>-0.37889649630073979</v>
      </c>
      <c r="H10">
        <v>-0.88545386784843927</v>
      </c>
      <c r="I10">
        <v>3.3771625764046855E-8</v>
      </c>
      <c r="J10">
        <v>3.136539471819548E-8</v>
      </c>
      <c r="K10">
        <v>6.2730512737388006E-9</v>
      </c>
    </row>
    <row r="11" spans="1:11" x14ac:dyDescent="0.25">
      <c r="A11">
        <v>0.52500000000000002</v>
      </c>
      <c r="B11">
        <v>-0.34538628438614183</v>
      </c>
      <c r="D11">
        <v>-0.34538628439000002</v>
      </c>
      <c r="E11">
        <v>-6.7322578042450246E-2</v>
      </c>
      <c r="F11">
        <v>-0.41270886243245025</v>
      </c>
      <c r="G11">
        <v>-0.34538447835608066</v>
      </c>
      <c r="H11">
        <v>-0.78929150670781179</v>
      </c>
      <c r="I11">
        <v>3.3743995054423299E-8</v>
      </c>
      <c r="J11">
        <v>3.1365393914685521E-8</v>
      </c>
      <c r="K11">
        <v>6.2730459809140505E-9</v>
      </c>
    </row>
    <row r="12" spans="1:11" x14ac:dyDescent="0.25">
      <c r="A12">
        <v>0.55000000000000004</v>
      </c>
      <c r="B12">
        <v>-0.31758493310469704</v>
      </c>
      <c r="D12">
        <v>-0.31758493310000002</v>
      </c>
      <c r="E12">
        <v>-6.7368069350237744E-2</v>
      </c>
      <c r="F12">
        <v>-0.38495300245023778</v>
      </c>
      <c r="G12">
        <v>-0.31757777753682598</v>
      </c>
      <c r="H12">
        <v>-0.73455004594080664</v>
      </c>
      <c r="I12">
        <v>3.3716410256939345E-8</v>
      </c>
      <c r="J12">
        <v>3.1365393112063438E-8</v>
      </c>
      <c r="K12">
        <v>6.2729372824586508E-9</v>
      </c>
    </row>
    <row r="13" spans="1:11" x14ac:dyDescent="0.25">
      <c r="A13">
        <v>0.57499999999999996</v>
      </c>
      <c r="B13">
        <v>-0.29354637288064811</v>
      </c>
      <c r="D13">
        <v>-0.29354637288000002</v>
      </c>
      <c r="E13">
        <v>-6.7410954045499336E-2</v>
      </c>
      <c r="F13">
        <v>-0.36095732692549937</v>
      </c>
      <c r="G13">
        <v>-0.29353792740494056</v>
      </c>
      <c r="H13">
        <v>-0.69143913409774871</v>
      </c>
      <c r="I13">
        <v>3.3688868125634014E-8</v>
      </c>
      <c r="J13">
        <v>3.1365392305139837E-8</v>
      </c>
      <c r="K13">
        <v>6.2728979814286503E-9</v>
      </c>
    </row>
    <row r="14" spans="1:11" x14ac:dyDescent="0.25">
      <c r="A14">
        <v>0.6</v>
      </c>
      <c r="B14">
        <v>-0.27251343492750074</v>
      </c>
      <c r="D14">
        <v>-0.27251343493000002</v>
      </c>
      <c r="E14">
        <v>-6.7453325144128842E-2</v>
      </c>
      <c r="F14">
        <v>-0.33996676007412885</v>
      </c>
      <c r="G14">
        <v>-0.27250278613344359</v>
      </c>
      <c r="H14">
        <v>-0.6294236526596102</v>
      </c>
      <c r="I14">
        <v>3.366137014722615E-8</v>
      </c>
      <c r="J14">
        <v>3.1365391495847124E-8</v>
      </c>
      <c r="K14">
        <v>6.2728331710019502E-9</v>
      </c>
    </row>
    <row r="15" spans="1:11" x14ac:dyDescent="0.25">
      <c r="A15">
        <v>0.625</v>
      </c>
      <c r="B15">
        <v>-0.25395974235933144</v>
      </c>
      <c r="D15">
        <v>-0.25395974236000002</v>
      </c>
      <c r="E15">
        <v>-6.7495196813993547E-2</v>
      </c>
      <c r="F15">
        <v>-0.32145493917399359</v>
      </c>
      <c r="G15">
        <v>-0.25394610050000171</v>
      </c>
      <c r="H15">
        <v>-0.58716535417247007</v>
      </c>
      <c r="I15">
        <v>3.3633916195583655E-8</v>
      </c>
      <c r="J15">
        <v>3.1365390683875081E-8</v>
      </c>
      <c r="K15">
        <v>6.2727411682117505E-9</v>
      </c>
    </row>
    <row r="16" spans="1:11" x14ac:dyDescent="0.25">
      <c r="A16">
        <v>0.65</v>
      </c>
      <c r="B16">
        <v>-0.23843480438067871</v>
      </c>
      <c r="D16">
        <v>-0.23843480438</v>
      </c>
      <c r="E16">
        <v>-6.7536567398818262E-2</v>
      </c>
      <c r="F16">
        <v>-0.30597137177881828</v>
      </c>
      <c r="G16">
        <v>-0.23841965682258606</v>
      </c>
      <c r="H16">
        <v>-0.54919744447090546</v>
      </c>
      <c r="I16">
        <v>3.3606506009428588E-8</v>
      </c>
      <c r="J16">
        <v>3.1365389869400683E-8</v>
      </c>
      <c r="K16">
        <v>6.2726794506306505E-9</v>
      </c>
    </row>
    <row r="17" spans="1:11" x14ac:dyDescent="0.25">
      <c r="A17">
        <v>0.67500000000000004</v>
      </c>
      <c r="B17">
        <v>-0.22271799978657084</v>
      </c>
      <c r="D17">
        <v>-0.22271799979000001</v>
      </c>
      <c r="E17">
        <v>-6.7577418123221419E-2</v>
      </c>
      <c r="F17">
        <v>-0.29029541791322144</v>
      </c>
      <c r="G17">
        <v>-0.222705874850959</v>
      </c>
      <c r="H17">
        <v>-0.51514655049444891</v>
      </c>
      <c r="I17">
        <v>3.3579139706258143E-8</v>
      </c>
      <c r="J17">
        <v>3.1365389051417969E-8</v>
      </c>
      <c r="K17">
        <v>6.2727362992040501E-9</v>
      </c>
    </row>
    <row r="18" spans="1:11" x14ac:dyDescent="0.25">
      <c r="A18">
        <v>0.7</v>
      </c>
      <c r="B18">
        <v>-0.20956150954160535</v>
      </c>
      <c r="D18">
        <v>-0.20956150954</v>
      </c>
      <c r="E18">
        <v>-6.7617753976279074E-2</v>
      </c>
      <c r="F18">
        <v>-0.27717926351627908</v>
      </c>
      <c r="G18">
        <v>-0.20955273519618342</v>
      </c>
      <c r="H18">
        <v>-0.48474118013430645</v>
      </c>
      <c r="I18">
        <v>3.355181702681926E-8</v>
      </c>
      <c r="J18">
        <v>3.1365388230176235E-8</v>
      </c>
      <c r="K18">
        <v>6.2728149921240005E-9</v>
      </c>
    </row>
    <row r="19" spans="1:11" x14ac:dyDescent="0.25">
      <c r="A19">
        <v>0.72499999999999998</v>
      </c>
      <c r="B19">
        <v>-0.1975299946721516</v>
      </c>
      <c r="D19">
        <v>-0.19752999466999999</v>
      </c>
      <c r="E19">
        <v>-6.7657595150905192E-2</v>
      </c>
      <c r="F19">
        <v>-0.26518758982090518</v>
      </c>
      <c r="G19">
        <v>-0.19752077195178705</v>
      </c>
      <c r="H19">
        <v>-0.45746439382199272</v>
      </c>
      <c r="I19">
        <v>3.3524537841269343E-8</v>
      </c>
      <c r="J19">
        <v>3.136538740554948E-8</v>
      </c>
      <c r="K19">
        <v>6.2727845896959511E-9</v>
      </c>
    </row>
    <row r="20" spans="1:11" x14ac:dyDescent="0.25">
      <c r="A20">
        <v>0.75</v>
      </c>
      <c r="B20">
        <v>-0.18653768988238018</v>
      </c>
      <c r="D20">
        <v>-0.18653768988</v>
      </c>
      <c r="E20">
        <v>-6.7695341697060415E-2</v>
      </c>
      <c r="F20">
        <v>-0.2542330315770604</v>
      </c>
      <c r="G20">
        <v>-0.18653054399209165</v>
      </c>
      <c r="H20">
        <v>-0.43266444818357291</v>
      </c>
      <c r="I20">
        <v>3.3497301860348589E-8</v>
      </c>
      <c r="J20">
        <v>3.1365386576642237E-8</v>
      </c>
      <c r="K20">
        <v>6.2728370061324998E-9</v>
      </c>
    </row>
    <row r="21" spans="1:11" x14ac:dyDescent="0.25">
      <c r="A21">
        <v>0.77500000000000002</v>
      </c>
      <c r="B21">
        <v>-0.17609578633842216</v>
      </c>
      <c r="D21">
        <v>-0.17609578634</v>
      </c>
      <c r="E21">
        <v>-6.7735673899704918E-2</v>
      </c>
      <c r="F21">
        <v>-0.24383146023970492</v>
      </c>
      <c r="G21">
        <v>-0.17608983077010956</v>
      </c>
      <c r="H21">
        <v>-0.4097677888523768</v>
      </c>
      <c r="I21">
        <v>3.3470109290265697E-8</v>
      </c>
      <c r="J21">
        <v>3.1365385744759705E-8</v>
      </c>
      <c r="K21">
        <v>6.2728649931686E-9</v>
      </c>
    </row>
    <row r="22" spans="1:11" x14ac:dyDescent="0.25">
      <c r="A22">
        <v>0.8</v>
      </c>
      <c r="B22">
        <v>-0.16728906567828891</v>
      </c>
      <c r="D22">
        <v>-0.16728906567999999</v>
      </c>
      <c r="E22">
        <v>-6.7773977325202919E-2</v>
      </c>
      <c r="F22">
        <v>-0.23506304300520292</v>
      </c>
      <c r="G22">
        <v>-0.16728364061435705</v>
      </c>
      <c r="H22">
        <v>-0.38887175589508088</v>
      </c>
      <c r="I22">
        <v>3.3442957807915252E-8</v>
      </c>
      <c r="J22">
        <v>3.1365384911103168E-8</v>
      </c>
      <c r="K22">
        <v>6.2728735508514505E-9</v>
      </c>
    </row>
    <row r="23" spans="1:11" x14ac:dyDescent="0.25">
      <c r="A23">
        <v>0.82499999999999996</v>
      </c>
      <c r="B23">
        <v>-0.15876042315080019</v>
      </c>
      <c r="D23">
        <v>-0.15876042315</v>
      </c>
      <c r="E23">
        <v>-6.7811773252657179E-2</v>
      </c>
      <c r="F23">
        <v>-0.22657219640265719</v>
      </c>
      <c r="G23">
        <v>-0.15875591291703017</v>
      </c>
      <c r="H23">
        <v>-0.37091067243721942</v>
      </c>
      <c r="I23">
        <v>3.3415851673011565E-8</v>
      </c>
      <c r="J23">
        <v>3.1365384071309705E-8</v>
      </c>
      <c r="K23">
        <v>6.2728986020707003E-9</v>
      </c>
    </row>
    <row r="24" spans="1:11" x14ac:dyDescent="0.25">
      <c r="A24">
        <v>0.85</v>
      </c>
      <c r="B24">
        <v>-0.15136826487748337</v>
      </c>
      <c r="D24">
        <v>-0.15136826487999999</v>
      </c>
      <c r="E24">
        <v>-6.7849076808101941E-2</v>
      </c>
      <c r="F24">
        <v>-0.21921734168810192</v>
      </c>
      <c r="G24">
        <v>-0.15136434446105762</v>
      </c>
      <c r="H24">
        <v>-0.35338609035306934</v>
      </c>
      <c r="I24">
        <v>3.3388788580212011E-8</v>
      </c>
      <c r="J24">
        <v>3.1365383227603215E-8</v>
      </c>
      <c r="K24">
        <v>6.2729141737321005E-9</v>
      </c>
    </row>
    <row r="25" spans="1:11" x14ac:dyDescent="0.25">
      <c r="A25">
        <v>0.875</v>
      </c>
      <c r="B25">
        <v>-0.1436739102582528</v>
      </c>
      <c r="D25">
        <v>-0.14367391026000001</v>
      </c>
      <c r="E25">
        <v>-6.7885903299824635E-2</v>
      </c>
      <c r="F25">
        <v>-0.21155981355982464</v>
      </c>
      <c r="G25">
        <v>-0.14367070424015069</v>
      </c>
      <c r="H25">
        <v>-0.33727907040059851</v>
      </c>
      <c r="I25">
        <v>3.3361768494800546E-8</v>
      </c>
      <c r="J25">
        <v>3.1365382379906194E-8</v>
      </c>
      <c r="K25">
        <v>6.2729364951266511E-9</v>
      </c>
    </row>
    <row r="26" spans="1:11" x14ac:dyDescent="0.25">
      <c r="A26">
        <v>0.9</v>
      </c>
      <c r="B26">
        <v>-0.137201707628826</v>
      </c>
      <c r="D26">
        <v>-0.13720170763</v>
      </c>
      <c r="E26">
        <v>-6.7922262198649816E-2</v>
      </c>
      <c r="F26">
        <v>-0.20512396982864983</v>
      </c>
      <c r="G26">
        <v>-0.13719959016356148</v>
      </c>
      <c r="H26">
        <v>-0.32192163620692371</v>
      </c>
      <c r="I26">
        <v>3.3334791406504634E-8</v>
      </c>
      <c r="J26">
        <v>3.1365381528152818E-8</v>
      </c>
      <c r="K26">
        <v>6.2729794918123506E-9</v>
      </c>
    </row>
    <row r="27" spans="1:11" x14ac:dyDescent="0.25">
      <c r="A27">
        <v>0.92500000000000004</v>
      </c>
      <c r="B27">
        <v>-0.13068306762004211</v>
      </c>
      <c r="D27">
        <v>-0.13068306762000001</v>
      </c>
      <c r="E27">
        <v>-6.7958168204285171E-2</v>
      </c>
      <c r="F27">
        <v>-0.19864123582428517</v>
      </c>
      <c r="G27">
        <v>-0.13068136744465186</v>
      </c>
      <c r="H27">
        <v>-0.30628192750015093</v>
      </c>
      <c r="I27">
        <v>3.3307857321629567E-8</v>
      </c>
      <c r="J27">
        <v>3.1365380672299571E-8</v>
      </c>
      <c r="K27">
        <v>6.2729945222827502E-9</v>
      </c>
    </row>
    <row r="28" spans="1:11" x14ac:dyDescent="0.25">
      <c r="A28">
        <v>0.95</v>
      </c>
      <c r="B28">
        <v>-0.12462014045851572</v>
      </c>
      <c r="D28">
        <v>-0.12462014046</v>
      </c>
      <c r="E28">
        <v>-6.7993666809939984E-2</v>
      </c>
      <c r="F28">
        <v>-0.19261380726993999</v>
      </c>
      <c r="G28">
        <v>-0.12461904220017998</v>
      </c>
      <c r="H28">
        <v>-0.29287143973988355</v>
      </c>
      <c r="I28">
        <v>3.328096485982832E-8</v>
      </c>
      <c r="J28">
        <v>3.136537981846037E-8</v>
      </c>
      <c r="K28">
        <v>6.2730206800281006E-9</v>
      </c>
    </row>
    <row r="29" spans="1:11" x14ac:dyDescent="0.25">
      <c r="A29">
        <v>0.97499999999999998</v>
      </c>
      <c r="B29">
        <v>-0.11910476112075841</v>
      </c>
      <c r="D29">
        <v>-0.11910476112</v>
      </c>
      <c r="E29">
        <v>-6.8029507746558748E-2</v>
      </c>
      <c r="F29">
        <v>-0.18713426886655876</v>
      </c>
      <c r="G29">
        <v>-0.11910394439240693</v>
      </c>
      <c r="H29">
        <v>-0.28542114139895625</v>
      </c>
      <c r="I29">
        <v>3.3255203480594547E-8</v>
      </c>
      <c r="J29">
        <v>3.1365379923816148E-8</v>
      </c>
      <c r="K29">
        <v>6.2730329688589006E-9</v>
      </c>
    </row>
    <row r="30" spans="1:11" x14ac:dyDescent="0.25">
      <c r="A30">
        <v>1</v>
      </c>
      <c r="B30">
        <v>-0.11381497935542668</v>
      </c>
      <c r="D30">
        <v>-0.11381497936</v>
      </c>
      <c r="E30">
        <v>-6.8064326983119386E-2</v>
      </c>
      <c r="F30">
        <v>-0.18187930634311938</v>
      </c>
      <c r="G30">
        <v>-0.11381243929164953</v>
      </c>
      <c r="H30">
        <v>-0.26759288562061589</v>
      </c>
      <c r="I30">
        <v>3.3228394157005747E-8</v>
      </c>
      <c r="J30">
        <v>3.1365379047501523E-8</v>
      </c>
      <c r="K30">
        <v>6.2729358102425006E-9</v>
      </c>
    </row>
    <row r="31" spans="1:11" x14ac:dyDescent="0.25">
      <c r="A31">
        <v>1.0249999999999999</v>
      </c>
      <c r="B31">
        <v>-0.10893188264778027</v>
      </c>
      <c r="D31">
        <v>-0.10893188265000001</v>
      </c>
      <c r="E31">
        <v>-6.8098778467984192E-2</v>
      </c>
      <c r="F31">
        <v>-0.17703066111798421</v>
      </c>
      <c r="G31">
        <v>-0.1089315037106077</v>
      </c>
      <c r="H31">
        <v>-0.25549623385501274</v>
      </c>
      <c r="I31">
        <v>3.3201629943714101E-8</v>
      </c>
      <c r="J31">
        <v>3.1365378169973616E-8</v>
      </c>
      <c r="K31">
        <v>6.2730538120865008E-9</v>
      </c>
    </row>
    <row r="32" spans="1:11" x14ac:dyDescent="0.25">
      <c r="A32">
        <v>1.05</v>
      </c>
      <c r="B32">
        <v>-0.1042361182514316</v>
      </c>
      <c r="D32">
        <v>-0.10423611825</v>
      </c>
      <c r="E32">
        <v>-6.813264213718645E-2</v>
      </c>
      <c r="F32">
        <v>-0.17236876038718646</v>
      </c>
      <c r="G32">
        <v>-0.10423575141160782</v>
      </c>
      <c r="H32">
        <v>-0.24604055667509769</v>
      </c>
      <c r="I32">
        <v>3.3174908737716987E-8</v>
      </c>
      <c r="J32">
        <v>3.1365377289807215E-8</v>
      </c>
      <c r="K32">
        <v>6.2730533810275007E-9</v>
      </c>
    </row>
    <row r="33" spans="1:11" x14ac:dyDescent="0.25">
      <c r="A33">
        <v>1.075</v>
      </c>
      <c r="B33">
        <v>-9.9714826232560394E-2</v>
      </c>
      <c r="D33">
        <v>-9.9714826233000001E-2</v>
      </c>
      <c r="E33">
        <v>-6.8165974227340886E-2</v>
      </c>
      <c r="F33">
        <v>-0.16788080046034087</v>
      </c>
      <c r="G33">
        <v>-9.9714468436928536E-2</v>
      </c>
      <c r="H33">
        <v>-0.25329863748879672</v>
      </c>
      <c r="I33">
        <v>3.3148219515622724E-8</v>
      </c>
      <c r="J33">
        <v>3.1365376504990148E-8</v>
      </c>
      <c r="K33">
        <v>6.2730527920189003E-9</v>
      </c>
    </row>
    <row r="34" spans="1:11" x14ac:dyDescent="0.25">
      <c r="A34">
        <v>1.1000000000000001</v>
      </c>
      <c r="B34">
        <v>-9.5346360032544014E-2</v>
      </c>
      <c r="D34">
        <v>-9.5346360032999997E-2</v>
      </c>
      <c r="E34">
        <v>-6.8198964696364314E-2</v>
      </c>
      <c r="F34">
        <v>-0.16354532472936431</v>
      </c>
      <c r="G34">
        <v>-9.5346398381934913E-2</v>
      </c>
      <c r="H34">
        <v>-0.2257354812300601</v>
      </c>
      <c r="I34">
        <v>3.3121583851520097E-8</v>
      </c>
      <c r="J34">
        <v>3.1365375621402859E-8</v>
      </c>
      <c r="K34">
        <v>6.2730776473827502E-9</v>
      </c>
    </row>
    <row r="35" spans="1:11" x14ac:dyDescent="0.25">
      <c r="A35">
        <v>1.125</v>
      </c>
      <c r="B35">
        <v>-9.1260780274924069E-2</v>
      </c>
      <c r="D35">
        <v>-9.1260780274999995E-2</v>
      </c>
      <c r="E35">
        <v>-6.8231477303371021E-2</v>
      </c>
      <c r="F35">
        <v>-0.15949225757837102</v>
      </c>
      <c r="G35">
        <v>-9.1260586287944145E-2</v>
      </c>
      <c r="H35">
        <v>-0.21669223311704455</v>
      </c>
      <c r="I35">
        <v>3.3094990873226677E-8</v>
      </c>
      <c r="J35">
        <v>3.136537473552815E-8</v>
      </c>
      <c r="K35">
        <v>6.2730616128468006E-9</v>
      </c>
    </row>
    <row r="36" spans="1:11" x14ac:dyDescent="0.25">
      <c r="A36">
        <v>1.1499999999999999</v>
      </c>
      <c r="B36">
        <v>-8.7341244696220247E-2</v>
      </c>
      <c r="D36">
        <v>-8.7341244696000006E-2</v>
      </c>
      <c r="E36">
        <v>-6.826342167371996E-2</v>
      </c>
      <c r="F36">
        <v>-0.15560466636971998</v>
      </c>
      <c r="G36">
        <v>-8.7341254655370765E-2</v>
      </c>
      <c r="H36">
        <v>-0.20834478946340981</v>
      </c>
      <c r="I36">
        <v>3.3068440492186861E-8</v>
      </c>
      <c r="J36">
        <v>3.1365373847440191E-8</v>
      </c>
      <c r="K36">
        <v>6.2730754847800507E-9</v>
      </c>
    </row>
    <row r="37" spans="1:11" x14ac:dyDescent="0.25">
      <c r="A37">
        <v>1.175</v>
      </c>
      <c r="B37">
        <v>-8.3551679253865502E-2</v>
      </c>
      <c r="D37">
        <v>-8.3551679254000005E-2</v>
      </c>
      <c r="E37">
        <v>-6.8295100957982524E-2</v>
      </c>
      <c r="F37">
        <v>-0.15184678021198253</v>
      </c>
      <c r="G37">
        <v>-8.355176008123491E-2</v>
      </c>
      <c r="H37">
        <v>-0.20020780922180911</v>
      </c>
      <c r="I37">
        <v>3.3041932642496676E-8</v>
      </c>
      <c r="J37">
        <v>3.1365372957232903E-8</v>
      </c>
      <c r="K37">
        <v>6.2730806599795E-9</v>
      </c>
    </row>
    <row r="38" spans="1:11" x14ac:dyDescent="0.25">
      <c r="A38">
        <v>1.2</v>
      </c>
      <c r="E38">
        <v>-6.8326159835052538E-2</v>
      </c>
      <c r="F38">
        <v>-6.8326159835052538E-2</v>
      </c>
      <c r="H38">
        <v>-0.19237143257555517</v>
      </c>
      <c r="I38">
        <v>3.3015467300405173E-8</v>
      </c>
      <c r="J38">
        <v>3.1365372064993747E-8</v>
      </c>
      <c r="K38">
        <v>6.2730967305639501E-9</v>
      </c>
    </row>
    <row r="39" spans="1:11" x14ac:dyDescent="0.25">
      <c r="A39">
        <v>1.2250000000000001</v>
      </c>
      <c r="E39">
        <v>-6.8356686301740244E-2</v>
      </c>
      <c r="F39">
        <v>-6.8356686301740244E-2</v>
      </c>
      <c r="H39">
        <v>-0.18494668250213006</v>
      </c>
      <c r="I39">
        <v>3.29890444837981E-8</v>
      </c>
      <c r="J39">
        <v>3.1365371170793883E-8</v>
      </c>
      <c r="K39">
        <v>6.2730969445365503E-9</v>
      </c>
    </row>
    <row r="40" spans="1:11" x14ac:dyDescent="0.25">
      <c r="A40">
        <v>1.25</v>
      </c>
      <c r="E40">
        <v>-6.838666880248917E-2</v>
      </c>
      <c r="F40">
        <v>-6.838666880248917E-2</v>
      </c>
      <c r="H40">
        <v>-0.17884488350006206</v>
      </c>
      <c r="I40">
        <v>3.2962664253642323E-8</v>
      </c>
      <c r="J40">
        <v>3.1365370274583923E-8</v>
      </c>
      <c r="K40">
        <v>6.2730969622210009E-9</v>
      </c>
    </row>
    <row r="41" spans="1:11" x14ac:dyDescent="0.25">
      <c r="A41">
        <v>1.2749999999999999</v>
      </c>
      <c r="E41">
        <v>-6.8416072485177948E-2</v>
      </c>
      <c r="F41">
        <v>-6.8416072485177948E-2</v>
      </c>
      <c r="H41">
        <v>-9.6958687905157621E-3</v>
      </c>
      <c r="I41">
        <v>3.2936326767376052E-8</v>
      </c>
      <c r="J41">
        <v>3.1365369379112146E-8</v>
      </c>
      <c r="K41">
        <v>6.2730969737110508E-9</v>
      </c>
    </row>
    <row r="42" spans="1:11" x14ac:dyDescent="0.25">
      <c r="A42">
        <v>1.3</v>
      </c>
      <c r="E42">
        <v>-6.8444773695119768E-2</v>
      </c>
      <c r="F42">
        <v>-6.8444773695119768E-2</v>
      </c>
      <c r="I42">
        <v>3.2910032320810544E-8</v>
      </c>
      <c r="J42">
        <v>3.1365368478722635E-8</v>
      </c>
      <c r="K42">
        <v>6.2730969666517509E-9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411"/>
  <sheetViews>
    <sheetView topLeftCell="H1" workbookViewId="0"/>
  </sheetViews>
  <sheetFormatPr defaultRowHeight="15" x14ac:dyDescent="0.25"/>
  <cols>
    <col min="1" max="1" width="4" customWidth="1"/>
    <col min="2" max="2" width="2" customWidth="1"/>
    <col min="3" max="3" width="8.5703125" customWidth="1"/>
    <col min="4" max="5" width="2" customWidth="1"/>
    <col min="6" max="8" width="6" customWidth="1"/>
    <col min="9" max="9" width="2" customWidth="1"/>
    <col min="10" max="10" width="12.7109375" bestFit="1" customWidth="1"/>
    <col min="11" max="12" width="12.7109375" customWidth="1"/>
    <col min="13" max="14" width="12" bestFit="1" customWidth="1"/>
    <col min="15" max="15" width="12" customWidth="1"/>
    <col min="16" max="16" width="12.7109375" customWidth="1"/>
    <col min="17" max="20" width="12" customWidth="1"/>
    <col min="21" max="21" width="12.7109375" customWidth="1"/>
    <col min="22" max="22" width="12" customWidth="1"/>
    <col min="23" max="23" width="8" customWidth="1"/>
    <col min="24" max="24" width="12.7109375" customWidth="1"/>
    <col min="25" max="25" width="2" customWidth="1"/>
  </cols>
  <sheetData>
    <row r="1" spans="1:25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0</v>
      </c>
      <c r="G1" t="s">
        <v>22</v>
      </c>
      <c r="H1" t="s">
        <v>23</v>
      </c>
      <c r="I1" t="s">
        <v>24</v>
      </c>
      <c r="J1" t="s">
        <v>16</v>
      </c>
      <c r="K1" t="s">
        <v>25</v>
      </c>
      <c r="L1" t="s">
        <v>26</v>
      </c>
      <c r="M1" t="s">
        <v>27</v>
      </c>
      <c r="N1" t="s">
        <v>28</v>
      </c>
      <c r="O1" t="s">
        <v>15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</row>
    <row r="2" spans="1:25" x14ac:dyDescent="0.25">
      <c r="A2">
        <v>1</v>
      </c>
      <c r="B2">
        <v>2</v>
      </c>
      <c r="C2" s="1">
        <v>1000000</v>
      </c>
      <c r="D2">
        <v>1</v>
      </c>
      <c r="E2">
        <v>0</v>
      </c>
      <c r="F2">
        <v>0.3</v>
      </c>
      <c r="G2">
        <v>4.3</v>
      </c>
      <c r="H2">
        <v>0.3</v>
      </c>
      <c r="I2">
        <v>0</v>
      </c>
      <c r="J2">
        <v>14.040819630287199</v>
      </c>
      <c r="K2">
        <v>14.5065946650619</v>
      </c>
      <c r="L2">
        <v>19.510355924760301</v>
      </c>
      <c r="M2">
        <v>55.926143282974699</v>
      </c>
      <c r="N2">
        <v>1.2939129110004399E-3</v>
      </c>
      <c r="O2">
        <v>4.1887902047863399</v>
      </c>
      <c r="P2">
        <v>7.0863595224642504</v>
      </c>
      <c r="Q2">
        <v>12.761035622242</v>
      </c>
      <c r="R2">
        <v>12.5613065048201</v>
      </c>
      <c r="S2">
        <v>12.8938325733145</v>
      </c>
      <c r="T2">
        <v>12.5461215575171</v>
      </c>
      <c r="U2">
        <v>0.17846743156620901</v>
      </c>
      <c r="V2">
        <v>1.9970253896257899</v>
      </c>
      <c r="W2">
        <v>2.1747100000000001</v>
      </c>
      <c r="X2">
        <v>15.520985703988</v>
      </c>
      <c r="Y2">
        <v>1</v>
      </c>
    </row>
    <row r="3" spans="1:25" x14ac:dyDescent="0.25">
      <c r="A3">
        <v>1</v>
      </c>
      <c r="B3">
        <v>2</v>
      </c>
      <c r="C3" s="1">
        <v>1000000</v>
      </c>
      <c r="D3">
        <v>1</v>
      </c>
      <c r="E3">
        <v>0</v>
      </c>
      <c r="F3">
        <v>0.32500000000000001</v>
      </c>
      <c r="G3">
        <v>4.3250000000000002</v>
      </c>
      <c r="H3">
        <v>0.32500000000000001</v>
      </c>
      <c r="I3">
        <v>0</v>
      </c>
      <c r="J3">
        <v>15.0477426608226</v>
      </c>
      <c r="K3">
        <v>9.8065201370081407</v>
      </c>
      <c r="L3">
        <v>17.575509619945802</v>
      </c>
      <c r="M3">
        <v>55.8068446786327</v>
      </c>
      <c r="N3">
        <v>1.3828952764400899E-4</v>
      </c>
      <c r="O3">
        <v>4.1887902047863204</v>
      </c>
      <c r="P3">
        <v>5.5809555044058001</v>
      </c>
      <c r="Q3">
        <v>12.0342832472447</v>
      </c>
      <c r="R3">
        <v>12.561321922735599</v>
      </c>
      <c r="S3">
        <v>11.078069049827601</v>
      </c>
      <c r="T3">
        <v>12.5461831549169</v>
      </c>
      <c r="U3">
        <v>0.145385315665221</v>
      </c>
      <c r="V3">
        <v>1.7682246922538201</v>
      </c>
      <c r="W3">
        <v>2.05966</v>
      </c>
      <c r="X3">
        <v>53.748785750150702</v>
      </c>
      <c r="Y3">
        <v>1</v>
      </c>
    </row>
    <row r="4" spans="1:25" x14ac:dyDescent="0.25">
      <c r="A4">
        <v>1</v>
      </c>
      <c r="B4">
        <v>2</v>
      </c>
      <c r="C4" s="1">
        <v>1000000</v>
      </c>
      <c r="D4">
        <v>1</v>
      </c>
      <c r="E4">
        <v>0</v>
      </c>
      <c r="F4">
        <v>0.35</v>
      </c>
      <c r="G4">
        <v>4.3499999999999996</v>
      </c>
      <c r="H4">
        <v>0.35</v>
      </c>
      <c r="I4">
        <v>0</v>
      </c>
      <c r="J4">
        <v>5.5891471002176498</v>
      </c>
      <c r="K4">
        <v>5.0804939126391098</v>
      </c>
      <c r="L4">
        <v>16.358429412202401</v>
      </c>
      <c r="M4">
        <v>57.230046252549101</v>
      </c>
      <c r="N4">
        <v>2.5046994073543698E-2</v>
      </c>
      <c r="O4">
        <v>4.1887902038482201</v>
      </c>
      <c r="P4">
        <v>3.8055894276112099</v>
      </c>
      <c r="Q4">
        <v>10.736367950779201</v>
      </c>
      <c r="R4">
        <v>12.5613116396922</v>
      </c>
      <c r="S4">
        <v>8.4373421707768408</v>
      </c>
      <c r="T4">
        <v>12.546142072868101</v>
      </c>
      <c r="U4">
        <v>4.1575345258346198E-2</v>
      </c>
      <c r="V4">
        <v>1.5377763884897699</v>
      </c>
      <c r="W4">
        <v>2.00589</v>
      </c>
      <c r="X4">
        <v>85.409294388924394</v>
      </c>
      <c r="Y4">
        <v>1</v>
      </c>
    </row>
    <row r="5" spans="1:25" x14ac:dyDescent="0.25">
      <c r="A5">
        <v>1</v>
      </c>
      <c r="B5">
        <v>2</v>
      </c>
      <c r="C5" s="1">
        <v>1000000</v>
      </c>
      <c r="D5">
        <v>1</v>
      </c>
      <c r="E5">
        <v>0</v>
      </c>
      <c r="F5">
        <v>0.375</v>
      </c>
      <c r="G5">
        <v>4.375</v>
      </c>
      <c r="H5">
        <v>0.375</v>
      </c>
      <c r="I5">
        <v>0</v>
      </c>
      <c r="J5">
        <v>2.4350457706995599</v>
      </c>
      <c r="K5">
        <v>2.79815688754644</v>
      </c>
      <c r="L5">
        <v>15.704075831896301</v>
      </c>
      <c r="M5">
        <v>57.820635199301599</v>
      </c>
      <c r="N5">
        <v>0.14755986316763001</v>
      </c>
      <c r="O5">
        <v>4.1887898403873001</v>
      </c>
      <c r="P5">
        <v>2.4681151974203002</v>
      </c>
      <c r="Q5">
        <v>9.7358394050175807</v>
      </c>
      <c r="R5">
        <v>12.5613173768973</v>
      </c>
      <c r="S5">
        <v>7.1922299606896098</v>
      </c>
      <c r="T5">
        <v>12.546164993466</v>
      </c>
      <c r="U5">
        <v>5.36678054446737E-2</v>
      </c>
      <c r="V5">
        <v>1.42360788858348</v>
      </c>
      <c r="W5">
        <v>2</v>
      </c>
      <c r="X5">
        <v>105.45263803246</v>
      </c>
      <c r="Y5">
        <v>1</v>
      </c>
    </row>
    <row r="6" spans="1:25" x14ac:dyDescent="0.25">
      <c r="A6">
        <v>1</v>
      </c>
      <c r="B6">
        <v>2</v>
      </c>
      <c r="C6" s="1">
        <v>1000000</v>
      </c>
      <c r="D6">
        <v>1</v>
      </c>
      <c r="E6">
        <v>0</v>
      </c>
      <c r="F6">
        <v>0.4</v>
      </c>
      <c r="G6">
        <v>4.4000000000000004</v>
      </c>
      <c r="H6">
        <v>0.4</v>
      </c>
      <c r="I6">
        <v>0</v>
      </c>
      <c r="J6">
        <v>1.6722903515092999</v>
      </c>
      <c r="K6">
        <v>1.7529301223053499</v>
      </c>
      <c r="L6">
        <v>15.350591492512301</v>
      </c>
      <c r="M6">
        <v>58.219129239783101</v>
      </c>
      <c r="N6">
        <v>3.11659361354208E-3</v>
      </c>
      <c r="O6">
        <v>4.1887902047863701</v>
      </c>
      <c r="P6">
        <v>1.73467346898173</v>
      </c>
      <c r="Q6">
        <v>9.0272226932383592</v>
      </c>
      <c r="R6">
        <v>12.5613168482198</v>
      </c>
      <c r="S6">
        <v>6.4401351310120303</v>
      </c>
      <c r="T6">
        <v>12.5461628814316</v>
      </c>
      <c r="U6">
        <v>3.8953383753782898E-2</v>
      </c>
      <c r="V6">
        <v>1.4267323270430801</v>
      </c>
      <c r="W6">
        <v>2</v>
      </c>
      <c r="X6">
        <v>118.92715076069901</v>
      </c>
      <c r="Y6">
        <v>1</v>
      </c>
    </row>
    <row r="7" spans="1:25" x14ac:dyDescent="0.25">
      <c r="A7">
        <v>1</v>
      </c>
      <c r="B7">
        <v>2</v>
      </c>
      <c r="C7" s="1">
        <v>1000000</v>
      </c>
      <c r="D7">
        <v>1</v>
      </c>
      <c r="E7">
        <v>0</v>
      </c>
      <c r="F7">
        <v>0.42499999999999999</v>
      </c>
      <c r="G7">
        <v>4.4249999999999998</v>
      </c>
      <c r="H7">
        <v>0.42499999999999999</v>
      </c>
      <c r="I7">
        <v>0</v>
      </c>
      <c r="J7">
        <v>1.0067775611524801</v>
      </c>
      <c r="K7">
        <v>1.0718775051432301</v>
      </c>
      <c r="L7">
        <v>15.145140469645799</v>
      </c>
      <c r="M7">
        <v>59.243199730015199</v>
      </c>
      <c r="N7">
        <v>0.100394563449082</v>
      </c>
      <c r="O7">
        <v>4.1887902047863603</v>
      </c>
      <c r="P7">
        <v>1.31980686061853</v>
      </c>
      <c r="Q7">
        <v>8.1344089653215494</v>
      </c>
      <c r="R7">
        <v>12.5613197516446</v>
      </c>
      <c r="S7">
        <v>5.2104366237188202</v>
      </c>
      <c r="T7">
        <v>12.5461744810759</v>
      </c>
      <c r="U7">
        <v>3.9530101121445303E-2</v>
      </c>
      <c r="V7">
        <v>1.2769475702870201</v>
      </c>
      <c r="W7">
        <v>2</v>
      </c>
      <c r="X7">
        <v>126.74749249737199</v>
      </c>
      <c r="Y7">
        <v>1</v>
      </c>
    </row>
    <row r="8" spans="1:25" x14ac:dyDescent="0.25">
      <c r="A8">
        <v>1</v>
      </c>
      <c r="B8">
        <v>2</v>
      </c>
      <c r="C8" s="1">
        <v>1000000</v>
      </c>
      <c r="D8">
        <v>1</v>
      </c>
      <c r="E8">
        <v>0</v>
      </c>
      <c r="F8">
        <v>0.45</v>
      </c>
      <c r="G8">
        <v>4.45</v>
      </c>
      <c r="H8">
        <v>0.45</v>
      </c>
      <c r="I8">
        <v>0</v>
      </c>
      <c r="J8">
        <v>0.62843865980122704</v>
      </c>
      <c r="K8">
        <v>0.69291806765414798</v>
      </c>
      <c r="L8">
        <v>15.018767981843199</v>
      </c>
      <c r="M8">
        <v>60.142305012322502</v>
      </c>
      <c r="N8">
        <v>1.1727350993501601E-3</v>
      </c>
      <c r="O8">
        <v>4.1887902047863896</v>
      </c>
      <c r="P8">
        <v>1.0707281219867499</v>
      </c>
      <c r="Q8">
        <v>7.2807604687269398</v>
      </c>
      <c r="R8">
        <v>12.561323764818001</v>
      </c>
      <c r="S8">
        <v>4.1848152865569199</v>
      </c>
      <c r="T8">
        <v>12.5461905143558</v>
      </c>
      <c r="U8">
        <v>3.8476527062230301E-2</v>
      </c>
      <c r="V8">
        <v>1.1467280549222301</v>
      </c>
      <c r="W8">
        <v>2</v>
      </c>
      <c r="X8">
        <v>132.14023134099401</v>
      </c>
      <c r="Y8">
        <v>1</v>
      </c>
    </row>
    <row r="9" spans="1:25" x14ac:dyDescent="0.25">
      <c r="A9">
        <v>1</v>
      </c>
      <c r="B9">
        <v>2</v>
      </c>
      <c r="C9" s="1">
        <v>1000000</v>
      </c>
      <c r="D9">
        <v>1</v>
      </c>
      <c r="E9">
        <v>0</v>
      </c>
      <c r="F9">
        <v>0.47499999999999998</v>
      </c>
      <c r="G9">
        <v>4.4749999999999996</v>
      </c>
      <c r="H9">
        <v>0.47499999999999998</v>
      </c>
      <c r="I9">
        <v>0</v>
      </c>
      <c r="J9">
        <v>0.406496721031951</v>
      </c>
      <c r="K9">
        <v>0.45518692229381802</v>
      </c>
      <c r="L9">
        <v>14.937428619514099</v>
      </c>
      <c r="M9">
        <v>60.992186871808201</v>
      </c>
      <c r="N9">
        <v>0.266542661361445</v>
      </c>
      <c r="O9">
        <v>4.1887901868303601</v>
      </c>
      <c r="P9">
        <v>0.91355911225678799</v>
      </c>
      <c r="Q9">
        <v>6.4285915862362204</v>
      </c>
      <c r="R9">
        <v>12.5613235404685</v>
      </c>
      <c r="S9">
        <v>3.2534492136111099</v>
      </c>
      <c r="T9">
        <v>12.5461896180385</v>
      </c>
      <c r="U9">
        <v>3.4259500420296497E-2</v>
      </c>
      <c r="V9">
        <v>1.0119458297075801</v>
      </c>
      <c r="W9">
        <v>2</v>
      </c>
      <c r="X9">
        <v>135.96265286193301</v>
      </c>
      <c r="Y9">
        <v>1</v>
      </c>
    </row>
    <row r="10" spans="1:25" x14ac:dyDescent="0.25">
      <c r="A10">
        <v>1</v>
      </c>
      <c r="B10">
        <v>2</v>
      </c>
      <c r="C10" s="1">
        <v>1000000</v>
      </c>
      <c r="D10">
        <v>1</v>
      </c>
      <c r="E10">
        <v>0</v>
      </c>
      <c r="F10">
        <v>0.5</v>
      </c>
      <c r="G10">
        <v>4.5</v>
      </c>
      <c r="H10">
        <v>0.5</v>
      </c>
      <c r="I10">
        <v>0</v>
      </c>
      <c r="J10">
        <v>0.26508551984449302</v>
      </c>
      <c r="K10">
        <v>0.30688110915448902</v>
      </c>
      <c r="L10">
        <v>14.8845731064084</v>
      </c>
      <c r="M10">
        <v>61.680831724892101</v>
      </c>
      <c r="N10">
        <v>0.30859009093533202</v>
      </c>
      <c r="O10">
        <v>4.1887901952753301</v>
      </c>
      <c r="P10">
        <v>0.80681956324933202</v>
      </c>
      <c r="Q10">
        <v>5.6381041721646703</v>
      </c>
      <c r="R10">
        <v>12.5613221143311</v>
      </c>
      <c r="S10">
        <v>2.5118247672095002</v>
      </c>
      <c r="T10">
        <v>12.5461839203804</v>
      </c>
      <c r="U10">
        <v>4.3339834016463297E-2</v>
      </c>
      <c r="V10">
        <v>0.89025273052829101</v>
      </c>
      <c r="W10">
        <v>2</v>
      </c>
      <c r="X10">
        <v>138.66062788375299</v>
      </c>
      <c r="Y10">
        <v>1</v>
      </c>
    </row>
    <row r="11" spans="1:25" x14ac:dyDescent="0.25">
      <c r="A11">
        <v>1</v>
      </c>
      <c r="B11">
        <v>2</v>
      </c>
      <c r="C11" s="1">
        <v>1000000</v>
      </c>
      <c r="D11">
        <v>1</v>
      </c>
      <c r="E11">
        <v>0</v>
      </c>
      <c r="F11">
        <v>0.52500000000000002</v>
      </c>
      <c r="G11">
        <v>4.5250000000000004</v>
      </c>
      <c r="H11">
        <v>0.52500000000000002</v>
      </c>
      <c r="I11">
        <v>0</v>
      </c>
      <c r="J11">
        <v>0.17236209620610701</v>
      </c>
      <c r="K11">
        <v>0.20388213874795599</v>
      </c>
      <c r="L11">
        <v>14.850324260389201</v>
      </c>
      <c r="M11">
        <v>62.296567968728297</v>
      </c>
      <c r="N11">
        <v>0.224362603411734</v>
      </c>
      <c r="O11">
        <v>4.18879018622851</v>
      </c>
      <c r="P11">
        <v>0.73361109710086603</v>
      </c>
      <c r="Q11">
        <v>4.8568497190078599</v>
      </c>
      <c r="R11">
        <v>12.561321672338799</v>
      </c>
      <c r="S11">
        <v>1.8617397954800201</v>
      </c>
      <c r="T11">
        <v>12.546182154545599</v>
      </c>
      <c r="U11">
        <v>4.4033930688621402E-2</v>
      </c>
      <c r="V11">
        <v>0.76464400087739304</v>
      </c>
      <c r="W11">
        <v>2</v>
      </c>
      <c r="X11">
        <v>140.68950848998799</v>
      </c>
      <c r="Y11">
        <v>1</v>
      </c>
    </row>
    <row r="12" spans="1:25" x14ac:dyDescent="0.25">
      <c r="A12">
        <v>1</v>
      </c>
      <c r="B12">
        <v>2</v>
      </c>
      <c r="C12" s="1">
        <v>1000000</v>
      </c>
      <c r="D12">
        <v>1</v>
      </c>
      <c r="E12">
        <v>0</v>
      </c>
      <c r="F12">
        <v>0.55000000000000004</v>
      </c>
      <c r="G12">
        <v>4.55</v>
      </c>
      <c r="H12">
        <v>0.55000000000000004</v>
      </c>
      <c r="I12">
        <v>0</v>
      </c>
      <c r="J12">
        <v>0.109476430980558</v>
      </c>
      <c r="K12">
        <v>0.13306871888080701</v>
      </c>
      <c r="L12">
        <v>14.828372009293201</v>
      </c>
      <c r="M12">
        <v>62.803297626580303</v>
      </c>
      <c r="N12">
        <v>0.119431275728228</v>
      </c>
      <c r="O12">
        <v>4.1887902047114496</v>
      </c>
      <c r="P12">
        <v>0.681102194645829</v>
      </c>
      <c r="Q12">
        <v>4.1136618408545802</v>
      </c>
      <c r="R12">
        <v>12.5613210915692</v>
      </c>
      <c r="S12">
        <v>1.3329698903427201</v>
      </c>
      <c r="T12">
        <v>12.546179834262899</v>
      </c>
      <c r="U12">
        <v>4.6879380177986998E-2</v>
      </c>
      <c r="V12">
        <v>0.64354609884665903</v>
      </c>
      <c r="W12">
        <v>2</v>
      </c>
      <c r="X12">
        <v>142.18908788315099</v>
      </c>
      <c r="Y12">
        <v>1</v>
      </c>
    </row>
    <row r="13" spans="1:25" x14ac:dyDescent="0.25">
      <c r="A13">
        <v>1</v>
      </c>
      <c r="B13">
        <v>2</v>
      </c>
      <c r="C13" s="1">
        <v>1000000</v>
      </c>
      <c r="D13">
        <v>1</v>
      </c>
      <c r="E13">
        <v>0</v>
      </c>
      <c r="F13">
        <v>0.57499999999999996</v>
      </c>
      <c r="G13">
        <v>4.5750000000000002</v>
      </c>
      <c r="H13">
        <v>0.57499999999999996</v>
      </c>
      <c r="I13">
        <v>0</v>
      </c>
      <c r="J13">
        <v>6.2690278945295094E-2</v>
      </c>
      <c r="K13">
        <v>8.5795151645346096E-2</v>
      </c>
      <c r="L13">
        <v>14.8150445464232</v>
      </c>
      <c r="M13">
        <v>63.190140015815999</v>
      </c>
      <c r="N13">
        <v>0.33535770014563698</v>
      </c>
      <c r="O13">
        <v>4.1887902049172503</v>
      </c>
      <c r="P13">
        <v>0.64232177242656097</v>
      </c>
      <c r="Q13">
        <v>3.4407926228436301</v>
      </c>
      <c r="R13">
        <v>12.561320875687199</v>
      </c>
      <c r="S13">
        <v>0.93273647770371304</v>
      </c>
      <c r="T13">
        <v>12.546178971762799</v>
      </c>
      <c r="U13">
        <v>5.2940396726787603E-2</v>
      </c>
      <c r="V13">
        <v>0.53701430574166198</v>
      </c>
      <c r="W13">
        <v>2</v>
      </c>
      <c r="X13">
        <v>143.28969879778899</v>
      </c>
      <c r="Y13">
        <v>1</v>
      </c>
    </row>
    <row r="14" spans="1:25" x14ac:dyDescent="0.25">
      <c r="A14">
        <v>1</v>
      </c>
      <c r="B14">
        <v>2</v>
      </c>
      <c r="C14" s="1">
        <v>1000000</v>
      </c>
      <c r="D14">
        <v>1</v>
      </c>
      <c r="E14">
        <v>0</v>
      </c>
      <c r="F14">
        <v>0.6</v>
      </c>
      <c r="G14">
        <v>4.5999999999999996</v>
      </c>
      <c r="H14">
        <v>0.6</v>
      </c>
      <c r="I14">
        <v>0</v>
      </c>
      <c r="J14">
        <v>3.0879528601842999E-2</v>
      </c>
      <c r="K14">
        <v>5.2949929993574098E-2</v>
      </c>
      <c r="L14">
        <v>14.807851749372499</v>
      </c>
      <c r="M14">
        <v>63.494544800008399</v>
      </c>
      <c r="N14">
        <v>0.28821086828572101</v>
      </c>
      <c r="O14">
        <v>4.1887902047863799</v>
      </c>
      <c r="P14">
        <v>0.61452261382630602</v>
      </c>
      <c r="Q14">
        <v>2.8064410348537101</v>
      </c>
      <c r="R14">
        <v>12.561321510308099</v>
      </c>
      <c r="S14">
        <v>0.62108922136790501</v>
      </c>
      <c r="T14">
        <v>12.546181507166599</v>
      </c>
      <c r="U14">
        <v>5.7544568777551701E-2</v>
      </c>
      <c r="V14">
        <v>0.43710643348178102</v>
      </c>
      <c r="W14">
        <v>2</v>
      </c>
      <c r="X14">
        <v>144.14774449236401</v>
      </c>
      <c r="Y14">
        <v>1</v>
      </c>
    </row>
    <row r="15" spans="1:25" x14ac:dyDescent="0.25">
      <c r="A15">
        <v>1</v>
      </c>
      <c r="B15">
        <v>2</v>
      </c>
      <c r="C15" s="1">
        <v>1000000</v>
      </c>
      <c r="D15">
        <v>1</v>
      </c>
      <c r="E15">
        <v>0</v>
      </c>
      <c r="F15">
        <v>0.625</v>
      </c>
      <c r="G15">
        <v>4.625</v>
      </c>
      <c r="H15">
        <v>0.625</v>
      </c>
      <c r="I15">
        <v>0</v>
      </c>
      <c r="J15">
        <v>7.7268820919012098E-3</v>
      </c>
      <c r="K15">
        <v>2.9045160976141599E-2</v>
      </c>
      <c r="L15">
        <v>14.804597613199499</v>
      </c>
      <c r="M15">
        <v>63.741701870365098</v>
      </c>
      <c r="N15">
        <v>0.15054376618590301</v>
      </c>
      <c r="O15">
        <v>4.1887902047872796</v>
      </c>
      <c r="P15">
        <v>0.59462913413037</v>
      </c>
      <c r="Q15">
        <v>2.1711465545174198</v>
      </c>
      <c r="R15">
        <v>12.5613214027429</v>
      </c>
      <c r="S15">
        <v>0.37063078168313401</v>
      </c>
      <c r="T15">
        <v>12.546181077412299</v>
      </c>
      <c r="U15">
        <v>5.89215559012604E-2</v>
      </c>
      <c r="V15">
        <v>0.33592842838402698</v>
      </c>
      <c r="W15">
        <v>2</v>
      </c>
      <c r="X15">
        <v>144.74827208217499</v>
      </c>
      <c r="Y15">
        <v>1</v>
      </c>
    </row>
    <row r="16" spans="1:25" x14ac:dyDescent="0.25">
      <c r="A16">
        <v>1</v>
      </c>
      <c r="B16">
        <v>2</v>
      </c>
      <c r="C16" s="1">
        <v>1000000</v>
      </c>
      <c r="D16">
        <v>1</v>
      </c>
      <c r="E16">
        <v>0</v>
      </c>
      <c r="F16">
        <v>0.65</v>
      </c>
      <c r="G16">
        <v>4.6500000000000004</v>
      </c>
      <c r="H16">
        <v>0.65</v>
      </c>
      <c r="I16">
        <v>0</v>
      </c>
      <c r="J16">
        <v>-6.1755536824406598E-3</v>
      </c>
      <c r="K16">
        <v>1.3123883232761801E-2</v>
      </c>
      <c r="L16">
        <v>14.8041352073284</v>
      </c>
      <c r="M16">
        <v>63.923195766500299</v>
      </c>
      <c r="N16">
        <v>9.3042669846936002E-2</v>
      </c>
      <c r="O16">
        <v>4.1887902047806902</v>
      </c>
      <c r="P16">
        <v>0.58070160025473905</v>
      </c>
      <c r="Q16">
        <v>1.55209575828216</v>
      </c>
      <c r="R16">
        <v>12.561322101630701</v>
      </c>
      <c r="S16">
        <v>0.188646968178317</v>
      </c>
      <c r="T16">
        <v>12.546183869582199</v>
      </c>
      <c r="U16">
        <v>6.1869292771135599E-2</v>
      </c>
      <c r="V16">
        <v>0.23839565054392101</v>
      </c>
      <c r="W16">
        <v>2</v>
      </c>
      <c r="X16">
        <v>145.242975174572</v>
      </c>
      <c r="Y16">
        <v>1</v>
      </c>
    </row>
    <row r="17" spans="1:25" x14ac:dyDescent="0.25">
      <c r="A17">
        <v>1</v>
      </c>
      <c r="B17">
        <v>2</v>
      </c>
      <c r="C17" s="1">
        <v>1000000</v>
      </c>
      <c r="D17">
        <v>1</v>
      </c>
      <c r="E17">
        <v>0</v>
      </c>
      <c r="F17">
        <v>0.67500000000000004</v>
      </c>
      <c r="G17">
        <v>4.6749999999999998</v>
      </c>
      <c r="H17">
        <v>0.67500000000000004</v>
      </c>
      <c r="I17">
        <v>0</v>
      </c>
      <c r="J17">
        <v>-1.50146815421271E-2</v>
      </c>
      <c r="K17">
        <v>3.2594039306178399E-3</v>
      </c>
      <c r="L17">
        <v>14.804957699793601</v>
      </c>
      <c r="M17">
        <v>64.049310231318699</v>
      </c>
      <c r="N17">
        <v>0.19258795977551901</v>
      </c>
      <c r="O17">
        <v>4.1887902047514398</v>
      </c>
      <c r="P17">
        <v>0.57257537060902797</v>
      </c>
      <c r="Q17">
        <v>0.90428556957355399</v>
      </c>
      <c r="R17">
        <v>12.561322130849501</v>
      </c>
      <c r="S17">
        <v>6.33303492324854E-2</v>
      </c>
      <c r="T17">
        <v>12.5461839863087</v>
      </c>
      <c r="U17">
        <v>5.65940053908911E-2</v>
      </c>
      <c r="V17">
        <v>0.137684639147126</v>
      </c>
      <c r="W17">
        <v>2</v>
      </c>
      <c r="X17">
        <v>145.46933911656899</v>
      </c>
      <c r="Y17">
        <v>1</v>
      </c>
    </row>
    <row r="18" spans="1:25" x14ac:dyDescent="0.25">
      <c r="A18">
        <v>1</v>
      </c>
      <c r="B18">
        <v>2</v>
      </c>
      <c r="C18" s="1">
        <v>1000000</v>
      </c>
      <c r="D18">
        <v>1</v>
      </c>
      <c r="E18">
        <v>0</v>
      </c>
      <c r="F18">
        <v>0.7</v>
      </c>
      <c r="G18">
        <v>4.7</v>
      </c>
      <c r="H18">
        <v>0.7</v>
      </c>
      <c r="I18">
        <v>0</v>
      </c>
      <c r="J18">
        <v>-2.6250266602469399E-2</v>
      </c>
      <c r="K18">
        <v>7.2801260795090598E-4</v>
      </c>
      <c r="L18">
        <v>14.8073754040759</v>
      </c>
      <c r="M18">
        <v>64.088557169253903</v>
      </c>
      <c r="N18">
        <v>1.7793899413166399E-2</v>
      </c>
      <c r="O18">
        <v>4.1887902047854704</v>
      </c>
      <c r="P18">
        <v>0.56308294994957897</v>
      </c>
      <c r="Q18">
        <v>0.59263692992394801</v>
      </c>
      <c r="R18">
        <v>12.561322999754699</v>
      </c>
      <c r="S18">
        <v>2.6491973684926898E-2</v>
      </c>
      <c r="T18">
        <v>12.546187457744301</v>
      </c>
      <c r="U18">
        <v>4.7435881235491098E-2</v>
      </c>
      <c r="V18">
        <v>8.7414118666119506E-2</v>
      </c>
      <c r="W18">
        <v>2</v>
      </c>
      <c r="X18">
        <v>145.83965721078599</v>
      </c>
      <c r="Y18">
        <v>1</v>
      </c>
    </row>
    <row r="19" spans="1:25" x14ac:dyDescent="0.25">
      <c r="A19">
        <v>1</v>
      </c>
      <c r="B19">
        <v>2</v>
      </c>
      <c r="C19" s="1">
        <v>1000000</v>
      </c>
      <c r="D19">
        <v>1</v>
      </c>
      <c r="E19">
        <v>0</v>
      </c>
      <c r="F19">
        <v>0.72499999999999998</v>
      </c>
      <c r="G19">
        <v>4.7249999999999996</v>
      </c>
      <c r="H19">
        <v>0.72499999999999998</v>
      </c>
      <c r="I19">
        <v>0</v>
      </c>
      <c r="J19">
        <v>-4.0674199410034598E-2</v>
      </c>
      <c r="K19">
        <v>3.5406822041552798E-4</v>
      </c>
      <c r="L19">
        <v>14.812100385469501</v>
      </c>
      <c r="M19">
        <v>64.099076617825503</v>
      </c>
      <c r="N19">
        <v>7.9539134238009804E-3</v>
      </c>
      <c r="O19">
        <v>4.1887902047864101</v>
      </c>
      <c r="P19">
        <v>0.55037644514913298</v>
      </c>
      <c r="Q19">
        <v>0.52502562518226004</v>
      </c>
      <c r="R19">
        <v>12.561323570411901</v>
      </c>
      <c r="S19">
        <v>2.0690632641151799E-2</v>
      </c>
      <c r="T19">
        <v>12.546189737630099</v>
      </c>
      <c r="U19">
        <v>4.0621505786776597E-2</v>
      </c>
      <c r="V19">
        <v>7.6888041562700196E-2</v>
      </c>
      <c r="W19">
        <v>2</v>
      </c>
      <c r="X19">
        <v>146.284837073592</v>
      </c>
      <c r="Y19">
        <v>1</v>
      </c>
    </row>
    <row r="20" spans="1:25" x14ac:dyDescent="0.25">
      <c r="A20">
        <v>1</v>
      </c>
      <c r="B20">
        <v>2</v>
      </c>
      <c r="C20" s="1">
        <v>1000000</v>
      </c>
      <c r="D20">
        <v>1</v>
      </c>
      <c r="E20">
        <v>0</v>
      </c>
      <c r="F20">
        <v>0.75</v>
      </c>
      <c r="G20">
        <v>4.75</v>
      </c>
      <c r="H20">
        <v>0.75</v>
      </c>
      <c r="I20">
        <v>0</v>
      </c>
      <c r="J20">
        <v>-5.2034563426208102E-2</v>
      </c>
      <c r="K20">
        <v>2.7080167028533601E-4</v>
      </c>
      <c r="L20">
        <v>14.8189758758722</v>
      </c>
      <c r="M20">
        <v>64.106984301162896</v>
      </c>
      <c r="N20">
        <v>6.7955588729983699E-3</v>
      </c>
      <c r="O20">
        <v>4.1887902047863497</v>
      </c>
      <c r="P20">
        <v>0.54235214341995297</v>
      </c>
      <c r="Q20">
        <v>0.51311606693385903</v>
      </c>
      <c r="R20">
        <v>12.5613239136306</v>
      </c>
      <c r="S20">
        <v>1.9648870857831201E-2</v>
      </c>
      <c r="T20">
        <v>12.546191108857601</v>
      </c>
      <c r="U20">
        <v>3.45290645930788E-2</v>
      </c>
      <c r="V20">
        <v>7.4830698274755705E-2</v>
      </c>
      <c r="W20">
        <v>2</v>
      </c>
      <c r="X20">
        <v>146.50885241239001</v>
      </c>
      <c r="Y20">
        <v>1</v>
      </c>
    </row>
    <row r="21" spans="1:25" x14ac:dyDescent="0.25">
      <c r="A21">
        <v>1</v>
      </c>
      <c r="B21">
        <v>2</v>
      </c>
      <c r="C21" s="1">
        <v>1000000</v>
      </c>
      <c r="D21">
        <v>1</v>
      </c>
      <c r="E21">
        <v>0</v>
      </c>
      <c r="F21">
        <v>0.77500000000000002</v>
      </c>
      <c r="G21">
        <v>4.7750000000000004</v>
      </c>
      <c r="H21">
        <v>0.77500000000000002</v>
      </c>
      <c r="I21">
        <v>0</v>
      </c>
      <c r="J21">
        <v>-5.8974004355504601E-2</v>
      </c>
      <c r="K21">
        <v>1.32349210758498E-4</v>
      </c>
      <c r="L21">
        <v>14.8271658965483</v>
      </c>
      <c r="M21">
        <v>64.1173795340097</v>
      </c>
      <c r="N21">
        <v>3.4223094182449002E-3</v>
      </c>
      <c r="O21">
        <v>4.1887902047863701</v>
      </c>
      <c r="P21">
        <v>0.53207295868212701</v>
      </c>
      <c r="Q21">
        <v>0.483864523607974</v>
      </c>
      <c r="R21">
        <v>12.5613240842361</v>
      </c>
      <c r="S21">
        <v>1.7434028156626001E-2</v>
      </c>
      <c r="T21">
        <v>12.546191790462</v>
      </c>
      <c r="U21">
        <v>2.9251664199611699E-2</v>
      </c>
      <c r="V21">
        <v>7.0349377995913107E-2</v>
      </c>
      <c r="W21">
        <v>2</v>
      </c>
      <c r="X21">
        <v>146.861821823561</v>
      </c>
      <c r="Y21">
        <v>1</v>
      </c>
    </row>
    <row r="22" spans="1:25" x14ac:dyDescent="0.25">
      <c r="A22">
        <v>1</v>
      </c>
      <c r="B22">
        <v>2</v>
      </c>
      <c r="C22" s="1">
        <v>1000000</v>
      </c>
      <c r="D22">
        <v>1</v>
      </c>
      <c r="E22">
        <v>0</v>
      </c>
      <c r="F22">
        <v>0.8</v>
      </c>
      <c r="G22">
        <v>4.8</v>
      </c>
      <c r="H22">
        <v>0.8</v>
      </c>
      <c r="I22">
        <v>0</v>
      </c>
      <c r="J22">
        <v>-8.8418573551708596E-2</v>
      </c>
      <c r="K22" s="1">
        <v>-5.2757411173480602E-5</v>
      </c>
      <c r="L22">
        <v>14.8358402456261</v>
      </c>
      <c r="M22">
        <v>64.129786951623799</v>
      </c>
      <c r="N22">
        <v>6.9084835821045705E-4</v>
      </c>
      <c r="O22">
        <v>4.1887902047863799</v>
      </c>
      <c r="P22">
        <v>0.52531668243814</v>
      </c>
      <c r="Q22">
        <v>0.431304537958345</v>
      </c>
      <c r="R22">
        <v>12.561324207958901</v>
      </c>
      <c r="S22">
        <v>1.36980563239796E-2</v>
      </c>
      <c r="T22">
        <v>12.546192284759901</v>
      </c>
      <c r="U22">
        <v>2.4323218236645801E-2</v>
      </c>
      <c r="V22">
        <v>6.19437340202557E-2</v>
      </c>
      <c r="W22">
        <v>2</v>
      </c>
      <c r="X22">
        <v>147.07664120254</v>
      </c>
      <c r="Y22">
        <v>1</v>
      </c>
    </row>
    <row r="23" spans="1:25" x14ac:dyDescent="0.25">
      <c r="A23">
        <v>1</v>
      </c>
      <c r="B23">
        <v>2</v>
      </c>
      <c r="C23" s="1">
        <v>1000000</v>
      </c>
      <c r="D23">
        <v>1</v>
      </c>
      <c r="E23">
        <v>0</v>
      </c>
      <c r="F23">
        <v>0.82499999999999996</v>
      </c>
      <c r="G23">
        <v>4.8250000000000002</v>
      </c>
      <c r="H23">
        <v>0.82499999999999996</v>
      </c>
      <c r="I23">
        <v>0</v>
      </c>
      <c r="J23">
        <v>-7.4413841667825803E-2</v>
      </c>
      <c r="K23">
        <v>-1.7188083083155201E-4</v>
      </c>
      <c r="L23">
        <v>14.845484319585401</v>
      </c>
      <c r="M23">
        <v>64.142004570236296</v>
      </c>
      <c r="N23">
        <v>2.0066426530564898E-3</v>
      </c>
      <c r="O23">
        <v>4.1887902047863799</v>
      </c>
      <c r="P23">
        <v>0.51402936853686498</v>
      </c>
      <c r="Q23">
        <v>0.38888756102476002</v>
      </c>
      <c r="R23">
        <v>12.5613243287247</v>
      </c>
      <c r="S23">
        <v>1.11026042710089E-2</v>
      </c>
      <c r="T23">
        <v>12.5461927672442</v>
      </c>
      <c r="U23">
        <v>1.9773318757941E-2</v>
      </c>
      <c r="V23">
        <v>5.5682746207404397E-2</v>
      </c>
      <c r="W23">
        <v>2</v>
      </c>
      <c r="X23">
        <v>147.45781467623101</v>
      </c>
      <c r="Y23">
        <v>1</v>
      </c>
    </row>
    <row r="24" spans="1:25" x14ac:dyDescent="0.25">
      <c r="A24">
        <v>1</v>
      </c>
      <c r="B24">
        <v>2</v>
      </c>
      <c r="C24" s="1">
        <v>1000000</v>
      </c>
      <c r="D24">
        <v>1</v>
      </c>
      <c r="E24">
        <v>0</v>
      </c>
      <c r="F24">
        <v>0.85</v>
      </c>
      <c r="G24">
        <v>4.8499999999999996</v>
      </c>
      <c r="H24">
        <v>0.85</v>
      </c>
      <c r="I24">
        <v>0</v>
      </c>
      <c r="J24">
        <v>-8.0040293081419703E-2</v>
      </c>
      <c r="K24">
        <v>-2.44003325646945E-4</v>
      </c>
      <c r="L24">
        <v>14.855716708415001</v>
      </c>
      <c r="M24">
        <v>64.153954955010505</v>
      </c>
      <c r="N24">
        <v>1.41703028962144E-3</v>
      </c>
      <c r="O24">
        <v>4.1887902047863701</v>
      </c>
      <c r="P24">
        <v>0.50421071449133004</v>
      </c>
      <c r="Q24">
        <v>0.358717832229213</v>
      </c>
      <c r="R24">
        <v>12.561324472893601</v>
      </c>
      <c r="S24">
        <v>9.3757850793131908E-3</v>
      </c>
      <c r="T24">
        <v>12.5461933432265</v>
      </c>
      <c r="U24">
        <v>7.7479916419927698E-3</v>
      </c>
      <c r="V24">
        <v>5.1028284107229899E-2</v>
      </c>
      <c r="W24">
        <v>2</v>
      </c>
      <c r="X24">
        <v>147.702802387345</v>
      </c>
      <c r="Y24">
        <v>1</v>
      </c>
    </row>
    <row r="25" spans="1:25" x14ac:dyDescent="0.25">
      <c r="A25">
        <v>1</v>
      </c>
      <c r="B25">
        <v>2</v>
      </c>
      <c r="C25" s="1">
        <v>1000000</v>
      </c>
      <c r="D25">
        <v>1</v>
      </c>
      <c r="E25">
        <v>0</v>
      </c>
      <c r="F25">
        <v>0.875</v>
      </c>
      <c r="G25">
        <v>4.875</v>
      </c>
      <c r="H25">
        <v>0.875</v>
      </c>
      <c r="I25">
        <v>0</v>
      </c>
      <c r="J25">
        <v>-8.8228329168189804E-2</v>
      </c>
      <c r="K25">
        <v>-3.1603589076662999E-4</v>
      </c>
      <c r="L25">
        <v>14.8654751200808</v>
      </c>
      <c r="M25">
        <v>64.166471785299393</v>
      </c>
      <c r="N25">
        <v>5.9342295874724004E-4</v>
      </c>
      <c r="O25">
        <v>4.1887902047863701</v>
      </c>
      <c r="P25">
        <v>0.49597639371114999</v>
      </c>
      <c r="Q25">
        <v>0.301439132433102</v>
      </c>
      <c r="R25">
        <v>12.561324510443599</v>
      </c>
      <c r="S25">
        <v>6.6033912731453797E-3</v>
      </c>
      <c r="T25">
        <v>12.5461934932465</v>
      </c>
      <c r="U25">
        <v>-1.3611185492200899E-3</v>
      </c>
      <c r="V25">
        <v>4.2747953742554197E-2</v>
      </c>
      <c r="W25">
        <v>2</v>
      </c>
      <c r="X25">
        <v>147.97329779782899</v>
      </c>
      <c r="Y25">
        <v>1</v>
      </c>
    </row>
    <row r="26" spans="1:25" x14ac:dyDescent="0.25">
      <c r="A26">
        <v>1</v>
      </c>
      <c r="B26">
        <v>2</v>
      </c>
      <c r="C26" s="1">
        <v>1000000</v>
      </c>
      <c r="D26">
        <v>1</v>
      </c>
      <c r="E26">
        <v>0</v>
      </c>
      <c r="F26">
        <v>0.9</v>
      </c>
      <c r="G26">
        <v>4.9000000000000004</v>
      </c>
      <c r="H26">
        <v>0.9</v>
      </c>
      <c r="I26">
        <v>0</v>
      </c>
      <c r="J26">
        <v>0.101245617422828</v>
      </c>
      <c r="K26">
        <v>-3.4781690502871297E-4</v>
      </c>
      <c r="L26">
        <v>14.8754890364429</v>
      </c>
      <c r="M26">
        <v>64.178647915273601</v>
      </c>
      <c r="N26">
        <v>1.8098035497894399E-4</v>
      </c>
      <c r="O26">
        <v>4.1887902047863399</v>
      </c>
      <c r="P26">
        <v>0.48723936211257202</v>
      </c>
      <c r="Q26">
        <v>0.24873317856476301</v>
      </c>
      <c r="R26">
        <v>12.5613245351987</v>
      </c>
      <c r="S26">
        <v>4.4240975321417899E-3</v>
      </c>
      <c r="T26">
        <v>12.546193592148001</v>
      </c>
      <c r="U26">
        <v>-5.5072203294008496E-3</v>
      </c>
      <c r="V26">
        <v>3.4742743449980101E-2</v>
      </c>
      <c r="W26">
        <v>2</v>
      </c>
      <c r="X26">
        <v>148.28606271126401</v>
      </c>
      <c r="Y26">
        <v>1</v>
      </c>
    </row>
    <row r="27" spans="1:25" x14ac:dyDescent="0.25">
      <c r="A27">
        <v>1</v>
      </c>
      <c r="B27">
        <v>2</v>
      </c>
      <c r="C27" s="1">
        <v>1000000</v>
      </c>
      <c r="D27">
        <v>1</v>
      </c>
      <c r="E27">
        <v>0</v>
      </c>
      <c r="F27">
        <v>0.92500000000000004</v>
      </c>
      <c r="G27">
        <v>4.9249999999999998</v>
      </c>
      <c r="H27">
        <v>0.92500000000000004</v>
      </c>
      <c r="I27">
        <v>0</v>
      </c>
      <c r="J27">
        <v>5.3957975880941998E-2</v>
      </c>
      <c r="K27">
        <v>-2.1476692841140699E-4</v>
      </c>
      <c r="L27">
        <v>14.8781179160541</v>
      </c>
      <c r="M27">
        <v>64.185026643513197</v>
      </c>
      <c r="N27">
        <v>3.6795662942863699E-4</v>
      </c>
      <c r="O27">
        <v>4.1887902047863399</v>
      </c>
      <c r="P27">
        <v>0.48541344688016103</v>
      </c>
      <c r="Q27">
        <v>9.5731572081301494E-2</v>
      </c>
      <c r="R27">
        <v>12.561324554717</v>
      </c>
      <c r="S27">
        <v>6.6196331775634696E-4</v>
      </c>
      <c r="T27">
        <v>12.546193670127399</v>
      </c>
      <c r="U27">
        <v>-6.4148690902573902E-3</v>
      </c>
      <c r="V27">
        <v>1.3406261329969801E-2</v>
      </c>
      <c r="W27">
        <v>2</v>
      </c>
      <c r="X27">
        <v>148.36740701510101</v>
      </c>
      <c r="Y27">
        <v>1</v>
      </c>
    </row>
    <row r="28" spans="1:25" x14ac:dyDescent="0.25">
      <c r="A28">
        <v>1</v>
      </c>
      <c r="B28">
        <v>2</v>
      </c>
      <c r="C28" s="1">
        <v>1000000</v>
      </c>
      <c r="D28">
        <v>1</v>
      </c>
      <c r="E28">
        <v>0</v>
      </c>
      <c r="F28">
        <v>0.95</v>
      </c>
      <c r="G28">
        <v>4.95</v>
      </c>
      <c r="H28">
        <v>0.95</v>
      </c>
      <c r="I28">
        <v>0</v>
      </c>
      <c r="J28">
        <v>-8.3750054743370494E-2</v>
      </c>
      <c r="K28" s="1">
        <v>-5.5721346587030401E-5</v>
      </c>
      <c r="L28">
        <v>14.8842450345111</v>
      </c>
      <c r="M28">
        <v>64.191718695834695</v>
      </c>
      <c r="N28">
        <v>2.9012381257087499E-4</v>
      </c>
      <c r="O28">
        <v>4.1887902047863497</v>
      </c>
      <c r="P28">
        <v>0.479430900738402</v>
      </c>
      <c r="Q28">
        <v>2.0917448084345699E-2</v>
      </c>
      <c r="R28">
        <v>12.561324569524601</v>
      </c>
      <c r="S28" s="1">
        <v>3.1187517124695297E-5</v>
      </c>
      <c r="T28">
        <v>12.5461937292866</v>
      </c>
      <c r="U28">
        <v>-9.2306653905203095E-3</v>
      </c>
      <c r="V28">
        <v>2.8622800173318998E-3</v>
      </c>
      <c r="W28">
        <v>2</v>
      </c>
      <c r="X28">
        <v>148.57662466824999</v>
      </c>
      <c r="Y28">
        <v>1</v>
      </c>
    </row>
    <row r="29" spans="1:25" x14ac:dyDescent="0.25">
      <c r="A29">
        <v>1</v>
      </c>
      <c r="B29">
        <v>2</v>
      </c>
      <c r="C29" s="1">
        <v>1000000</v>
      </c>
      <c r="D29">
        <v>1</v>
      </c>
      <c r="E29">
        <v>0</v>
      </c>
      <c r="F29">
        <v>0.97499999999999998</v>
      </c>
      <c r="G29">
        <v>4.9749999999999996</v>
      </c>
      <c r="H29">
        <v>0.97499999999999998</v>
      </c>
      <c r="I29">
        <v>0</v>
      </c>
      <c r="J29">
        <v>-7.2165644822103497E-2</v>
      </c>
      <c r="K29">
        <v>-1.8858309830532599E-3</v>
      </c>
      <c r="L29">
        <v>14.8589408150963</v>
      </c>
      <c r="M29">
        <v>64.166807745520501</v>
      </c>
      <c r="N29" s="1">
        <v>3.0253667641831499E-5</v>
      </c>
      <c r="O29">
        <v>4.1887902047863301</v>
      </c>
      <c r="P29">
        <v>0.49502204150713502</v>
      </c>
      <c r="Q29">
        <v>0.66823014821524296</v>
      </c>
      <c r="R29">
        <v>12.5613244845431</v>
      </c>
      <c r="S29">
        <v>-3.7735973064335898E-4</v>
      </c>
      <c r="T29">
        <v>12.546193389769901</v>
      </c>
      <c r="U29">
        <v>1.2868704405276399E-2</v>
      </c>
      <c r="V29">
        <v>8.7133592453794305E-4</v>
      </c>
      <c r="W29">
        <v>2</v>
      </c>
      <c r="X29">
        <v>148.20838818279299</v>
      </c>
      <c r="Y29">
        <v>1</v>
      </c>
    </row>
    <row r="30" spans="1:25" x14ac:dyDescent="0.25">
      <c r="A30">
        <v>1</v>
      </c>
      <c r="B30">
        <v>2</v>
      </c>
      <c r="C30" s="1">
        <v>1000000</v>
      </c>
      <c r="D30">
        <v>1</v>
      </c>
      <c r="E30">
        <v>0</v>
      </c>
      <c r="F30">
        <v>1</v>
      </c>
      <c r="G30">
        <v>5</v>
      </c>
      <c r="H30">
        <v>1</v>
      </c>
      <c r="I30">
        <v>0</v>
      </c>
      <c r="J30">
        <v>-0.553702616211456</v>
      </c>
      <c r="K30">
        <v>-1.41909318669556E-3</v>
      </c>
      <c r="L30">
        <v>14.8725953254154</v>
      </c>
      <c r="M30">
        <v>64.180503847162996</v>
      </c>
      <c r="N30">
        <v>6.0823098748247304E-4</v>
      </c>
      <c r="O30">
        <v>4.1887902047863204</v>
      </c>
      <c r="P30">
        <v>0.48421254104498501</v>
      </c>
      <c r="Q30">
        <v>0.49531505375518298</v>
      </c>
      <c r="R30">
        <v>12.5613245921363</v>
      </c>
      <c r="S30">
        <v>-5.6170752400767703E-4</v>
      </c>
      <c r="T30">
        <v>12.546193819624699</v>
      </c>
      <c r="U30">
        <v>6.7791181062895299E-3</v>
      </c>
      <c r="V30">
        <v>1.36049121815093E-3</v>
      </c>
      <c r="W30">
        <v>2</v>
      </c>
      <c r="X30">
        <v>148.49420380243299</v>
      </c>
      <c r="Y30">
        <v>1</v>
      </c>
    </row>
    <row r="31" spans="1:25" x14ac:dyDescent="0.25">
      <c r="A31">
        <v>1</v>
      </c>
      <c r="B31">
        <v>2</v>
      </c>
      <c r="C31" s="1">
        <v>1000000</v>
      </c>
      <c r="D31">
        <v>1</v>
      </c>
      <c r="E31">
        <v>0</v>
      </c>
      <c r="F31">
        <v>1.0249999999999999</v>
      </c>
      <c r="G31">
        <v>5.0250000000000004</v>
      </c>
      <c r="H31">
        <v>1.0249999999999999</v>
      </c>
      <c r="I31">
        <v>0</v>
      </c>
      <c r="J31">
        <v>-4.5891877030413801E-2</v>
      </c>
      <c r="K31">
        <v>-2.5831461920044602E-3</v>
      </c>
      <c r="L31">
        <v>14.846434087814201</v>
      </c>
      <c r="M31">
        <v>64.156428272254701</v>
      </c>
      <c r="N31" s="1">
        <v>5.0162285910602302E-7</v>
      </c>
      <c r="O31">
        <v>4.1887902047863301</v>
      </c>
      <c r="P31">
        <v>0.52081186113528999</v>
      </c>
      <c r="Q31">
        <v>0.84470456089891</v>
      </c>
      <c r="R31">
        <v>12.5613245883634</v>
      </c>
      <c r="S31">
        <v>-2.85757486478946E-3</v>
      </c>
      <c r="T31">
        <v>12.5461938045511</v>
      </c>
      <c r="U31">
        <v>4.5400244307152601E-2</v>
      </c>
      <c r="V31" s="1">
        <v>9.60581698212395E-8</v>
      </c>
      <c r="W31">
        <v>2</v>
      </c>
      <c r="X31">
        <v>147.05123486279999</v>
      </c>
      <c r="Y31">
        <v>1</v>
      </c>
    </row>
    <row r="32" spans="1:25" x14ac:dyDescent="0.25">
      <c r="A32">
        <v>1</v>
      </c>
      <c r="B32">
        <v>2</v>
      </c>
      <c r="C32" s="1">
        <v>1000000</v>
      </c>
      <c r="D32">
        <v>1</v>
      </c>
      <c r="E32">
        <v>0</v>
      </c>
      <c r="F32">
        <v>1.05</v>
      </c>
      <c r="G32">
        <v>5.05</v>
      </c>
      <c r="H32">
        <v>1.05</v>
      </c>
      <c r="I32">
        <v>0</v>
      </c>
      <c r="J32">
        <v>-6.2542086442194694E-2</v>
      </c>
      <c r="K32">
        <v>-5.2003601084551804E-4</v>
      </c>
      <c r="L32">
        <v>14.962608880786499</v>
      </c>
      <c r="M32">
        <v>64.269601391975002</v>
      </c>
      <c r="N32" s="1">
        <v>8.51651736488528E-5</v>
      </c>
      <c r="O32">
        <v>4.1887902047863204</v>
      </c>
      <c r="P32">
        <v>0.42322535289128799</v>
      </c>
      <c r="Q32">
        <v>0.18533046624164701</v>
      </c>
      <c r="R32">
        <v>12.5613246199919</v>
      </c>
      <c r="S32" s="1">
        <v>-7.8019901839038804E-5</v>
      </c>
      <c r="T32">
        <v>12.5461939309131</v>
      </c>
      <c r="U32">
        <v>-4.41676225480125E-2</v>
      </c>
      <c r="V32" s="1">
        <v>3.3014423848096302E-5</v>
      </c>
      <c r="W32">
        <v>2</v>
      </c>
      <c r="X32">
        <v>150.44645833931901</v>
      </c>
      <c r="Y32">
        <v>1</v>
      </c>
    </row>
    <row r="33" spans="1:25" x14ac:dyDescent="0.25">
      <c r="A33">
        <v>1</v>
      </c>
      <c r="B33">
        <v>2</v>
      </c>
      <c r="C33" s="1">
        <v>1000000</v>
      </c>
      <c r="D33">
        <v>1</v>
      </c>
      <c r="E33">
        <v>0</v>
      </c>
      <c r="F33">
        <v>1.075</v>
      </c>
      <c r="G33">
        <v>5.0750000000000002</v>
      </c>
      <c r="H33">
        <v>1.075</v>
      </c>
      <c r="I33">
        <v>0</v>
      </c>
      <c r="J33">
        <v>-0.72503650255878205</v>
      </c>
      <c r="K33">
        <v>-5.5111975714973796E-4</v>
      </c>
      <c r="L33">
        <v>14.8773614261888</v>
      </c>
      <c r="M33">
        <v>64.184168265718895</v>
      </c>
      <c r="N33">
        <v>1.7187776212378601E-3</v>
      </c>
      <c r="O33">
        <v>4.1887902047854197</v>
      </c>
      <c r="P33">
        <v>0.47332364915408398</v>
      </c>
      <c r="Q33">
        <v>0.19758238475704401</v>
      </c>
      <c r="R33">
        <v>12.561324612145199</v>
      </c>
      <c r="S33" s="1">
        <v>-3.0633324613847402E-5</v>
      </c>
      <c r="T33">
        <v>12.5461938995639</v>
      </c>
      <c r="U33">
        <v>-5.80678366484152E-4</v>
      </c>
      <c r="V33">
        <v>3.3105371421917403E-4</v>
      </c>
      <c r="W33">
        <v>2</v>
      </c>
      <c r="X33">
        <v>148.93223693041301</v>
      </c>
      <c r="Y33">
        <v>1</v>
      </c>
    </row>
    <row r="34" spans="1:25" x14ac:dyDescent="0.25">
      <c r="A34">
        <v>1</v>
      </c>
      <c r="B34">
        <v>2</v>
      </c>
      <c r="C34" s="1">
        <v>1000000</v>
      </c>
      <c r="D34">
        <v>1</v>
      </c>
      <c r="E34">
        <v>0</v>
      </c>
      <c r="F34">
        <v>1.1000000000000001</v>
      </c>
      <c r="G34">
        <v>5.0999999999999996</v>
      </c>
      <c r="H34">
        <v>1.1000000000000001</v>
      </c>
      <c r="I34">
        <v>0</v>
      </c>
      <c r="J34">
        <v>-1.2706357935768501E-2</v>
      </c>
      <c r="K34">
        <v>-5.1238127078347205E-4</v>
      </c>
      <c r="L34">
        <v>14.866440656111701</v>
      </c>
      <c r="M34">
        <v>64.173205477497703</v>
      </c>
      <c r="N34">
        <v>1.3073703486489701E-4</v>
      </c>
      <c r="O34">
        <v>4.1887902047863497</v>
      </c>
      <c r="P34">
        <v>0.47382192654322203</v>
      </c>
      <c r="Q34">
        <v>0.17921018628958499</v>
      </c>
      <c r="R34">
        <v>12.561324610801099</v>
      </c>
      <c r="S34">
        <v>-1.9361168889513701E-4</v>
      </c>
      <c r="T34">
        <v>12.5461938941942</v>
      </c>
      <c r="U34">
        <v>4.7436306256220901E-3</v>
      </c>
      <c r="V34">
        <v>4.9180435667923897E-4</v>
      </c>
      <c r="W34">
        <v>2</v>
      </c>
      <c r="X34">
        <v>148.998814531714</v>
      </c>
      <c r="Y34">
        <v>1</v>
      </c>
    </row>
    <row r="35" spans="1:25" x14ac:dyDescent="0.25">
      <c r="A35">
        <v>1</v>
      </c>
      <c r="B35">
        <v>2</v>
      </c>
      <c r="C35" s="1">
        <v>1000000</v>
      </c>
      <c r="D35">
        <v>1</v>
      </c>
      <c r="E35">
        <v>0</v>
      </c>
      <c r="F35">
        <v>1.125</v>
      </c>
      <c r="G35">
        <v>5.125</v>
      </c>
      <c r="H35">
        <v>1.125</v>
      </c>
      <c r="I35">
        <v>0</v>
      </c>
      <c r="J35">
        <v>-7.15776146843254E-2</v>
      </c>
      <c r="K35">
        <v>-6.0659961457203203E-4</v>
      </c>
      <c r="L35">
        <v>14.922199811809101</v>
      </c>
      <c r="M35">
        <v>64.228333303620701</v>
      </c>
      <c r="N35" s="1">
        <v>1.5948818804053199E-5</v>
      </c>
      <c r="O35">
        <v>4.1887902047863399</v>
      </c>
      <c r="P35">
        <v>0.450923765405086</v>
      </c>
      <c r="Q35">
        <v>0.21949169841227401</v>
      </c>
      <c r="R35">
        <v>12.561324622046801</v>
      </c>
      <c r="S35" s="1">
        <v>4.2757880954770298E-5</v>
      </c>
      <c r="T35">
        <v>12.546193939122601</v>
      </c>
      <c r="U35">
        <v>-9.8058875485825207E-3</v>
      </c>
      <c r="V35">
        <v>1.9792351876450699E-4</v>
      </c>
      <c r="W35">
        <v>2</v>
      </c>
      <c r="X35">
        <v>149.51760902869799</v>
      </c>
      <c r="Y35">
        <v>1</v>
      </c>
    </row>
    <row r="36" spans="1:25" x14ac:dyDescent="0.25">
      <c r="A36">
        <v>1</v>
      </c>
      <c r="B36">
        <v>2</v>
      </c>
      <c r="C36" s="1">
        <v>1000000</v>
      </c>
      <c r="D36">
        <v>1</v>
      </c>
      <c r="E36">
        <v>0</v>
      </c>
      <c r="F36">
        <v>1.1499999999999999</v>
      </c>
      <c r="G36">
        <v>5.15</v>
      </c>
      <c r="H36">
        <v>1.1499999999999999</v>
      </c>
      <c r="I36">
        <v>0</v>
      </c>
      <c r="J36">
        <v>-0.28421581652715699</v>
      </c>
      <c r="K36">
        <v>-8.1784569538315296E-4</v>
      </c>
      <c r="L36">
        <v>14.948569032019799</v>
      </c>
      <c r="M36">
        <v>64.254691556553297</v>
      </c>
      <c r="N36">
        <v>6.70580711175954E-4</v>
      </c>
      <c r="O36">
        <v>4.1887902047863301</v>
      </c>
      <c r="P36">
        <v>0.422799703288949</v>
      </c>
      <c r="Q36">
        <v>0.28735830486032299</v>
      </c>
      <c r="R36">
        <v>12.561324620810099</v>
      </c>
      <c r="S36">
        <v>-2.9229473497493E-4</v>
      </c>
      <c r="T36">
        <v>12.5461939341817</v>
      </c>
      <c r="U36">
        <v>-3.9297517622252899E-2</v>
      </c>
      <c r="V36">
        <v>1.1493598967355E-4</v>
      </c>
      <c r="W36">
        <v>2</v>
      </c>
      <c r="X36">
        <v>150.50228334788</v>
      </c>
      <c r="Y36">
        <v>1</v>
      </c>
    </row>
    <row r="37" spans="1:25" x14ac:dyDescent="0.25">
      <c r="A37">
        <v>1</v>
      </c>
      <c r="B37">
        <v>2</v>
      </c>
      <c r="C37" s="1">
        <v>1000000</v>
      </c>
      <c r="D37">
        <v>1</v>
      </c>
      <c r="E37">
        <v>0</v>
      </c>
      <c r="F37">
        <v>1.175</v>
      </c>
      <c r="G37">
        <v>5.1749999999999998</v>
      </c>
      <c r="H37">
        <v>1.175</v>
      </c>
      <c r="I37">
        <v>0</v>
      </c>
      <c r="J37">
        <v>-0.10397491203756801</v>
      </c>
      <c r="K37" s="1">
        <v>-5.0375599388969899E-5</v>
      </c>
      <c r="L37">
        <v>15.037959473619701</v>
      </c>
      <c r="M37">
        <v>64.343320947204504</v>
      </c>
      <c r="N37" s="1">
        <v>9.76716516341322E-5</v>
      </c>
      <c r="O37">
        <v>4.1887902047863399</v>
      </c>
      <c r="P37">
        <v>0.39716327341334101</v>
      </c>
      <c r="Q37">
        <v>1.8086542768808899E-2</v>
      </c>
      <c r="R37">
        <v>12.5613246251405</v>
      </c>
      <c r="S37" s="1">
        <v>-2.1792812490889301E-6</v>
      </c>
      <c r="T37">
        <v>12.5461939514825</v>
      </c>
      <c r="U37">
        <v>-2.3040675883495499E-2</v>
      </c>
      <c r="V37" s="1">
        <v>6.0346539076446E-5</v>
      </c>
      <c r="W37">
        <v>2</v>
      </c>
      <c r="X37">
        <v>151.19555147573999</v>
      </c>
      <c r="Y37">
        <v>1</v>
      </c>
    </row>
    <row r="38" spans="1:25" x14ac:dyDescent="0.25">
      <c r="A38">
        <v>1</v>
      </c>
      <c r="B38">
        <v>2</v>
      </c>
      <c r="C38" s="1">
        <v>1000000</v>
      </c>
      <c r="D38">
        <v>1</v>
      </c>
      <c r="E38">
        <v>0</v>
      </c>
      <c r="F38">
        <v>1.2</v>
      </c>
      <c r="G38">
        <v>5.2</v>
      </c>
      <c r="H38">
        <v>1.2</v>
      </c>
      <c r="I38">
        <v>0</v>
      </c>
      <c r="J38">
        <v>-9.1878444969372197E-2</v>
      </c>
      <c r="K38">
        <v>-4.1539908605360098E-4</v>
      </c>
      <c r="L38">
        <v>14.995106532252599</v>
      </c>
      <c r="M38">
        <v>64.3000288285821</v>
      </c>
      <c r="N38" s="1">
        <v>1.3994961818470301E-5</v>
      </c>
      <c r="O38">
        <v>4.1887902047863399</v>
      </c>
      <c r="P38">
        <v>0.39977442614964298</v>
      </c>
      <c r="Q38">
        <v>0.14841621847647701</v>
      </c>
      <c r="R38">
        <v>12.5613246235931</v>
      </c>
      <c r="S38" s="1">
        <v>-4.9551112016982597E-5</v>
      </c>
      <c r="T38">
        <v>12.546193945300301</v>
      </c>
      <c r="U38">
        <v>-3.1824674211226103E-2</v>
      </c>
      <c r="V38">
        <v>3.2567697144795702E-4</v>
      </c>
      <c r="W38">
        <v>2</v>
      </c>
      <c r="X38">
        <v>151.264950788764</v>
      </c>
      <c r="Y38">
        <v>1</v>
      </c>
    </row>
    <row r="39" spans="1:25" x14ac:dyDescent="0.25">
      <c r="A39">
        <v>1</v>
      </c>
      <c r="B39">
        <v>2</v>
      </c>
      <c r="C39" s="1">
        <v>1000000</v>
      </c>
      <c r="D39">
        <v>1</v>
      </c>
      <c r="E39">
        <v>0</v>
      </c>
      <c r="F39">
        <v>1.2250000000000001</v>
      </c>
      <c r="G39">
        <v>5.2249999999999996</v>
      </c>
      <c r="H39">
        <v>1.2250000000000001</v>
      </c>
      <c r="I39">
        <v>0</v>
      </c>
      <c r="J39">
        <v>-6.4998362525793593E-2</v>
      </c>
      <c r="K39">
        <v>-3.8539496343971901E-4</v>
      </c>
      <c r="L39">
        <v>15.0055863630917</v>
      </c>
      <c r="M39">
        <v>64.310261515836899</v>
      </c>
      <c r="N39">
        <v>5.4322157197058698E-4</v>
      </c>
      <c r="O39">
        <v>4.1887902047863097</v>
      </c>
      <c r="P39">
        <v>0.40848217771371298</v>
      </c>
      <c r="Q39">
        <v>0.13599438484381501</v>
      </c>
      <c r="R39">
        <v>12.5613246230022</v>
      </c>
      <c r="S39">
        <v>-1.17700837113471E-4</v>
      </c>
      <c r="T39">
        <v>12.5461939429398</v>
      </c>
      <c r="U39">
        <v>-1.77712893616544E-2</v>
      </c>
      <c r="V39">
        <v>8.83342936202452E-4</v>
      </c>
      <c r="W39">
        <v>2</v>
      </c>
      <c r="X39">
        <v>150.88577153053001</v>
      </c>
      <c r="Y39">
        <v>1</v>
      </c>
    </row>
    <row r="40" spans="1:25" x14ac:dyDescent="0.25">
      <c r="A40">
        <v>1</v>
      </c>
      <c r="B40">
        <v>2</v>
      </c>
      <c r="C40" s="1">
        <v>1000000</v>
      </c>
      <c r="D40">
        <v>1</v>
      </c>
      <c r="E40">
        <v>0</v>
      </c>
      <c r="F40">
        <v>1.25</v>
      </c>
      <c r="G40">
        <v>5.25</v>
      </c>
      <c r="H40">
        <v>1.25</v>
      </c>
      <c r="I40">
        <v>0</v>
      </c>
      <c r="J40">
        <v>-8.9908027591753897E-2</v>
      </c>
      <c r="K40">
        <v>-5.0881221511070397E-4</v>
      </c>
      <c r="L40">
        <v>14.9969899176266</v>
      </c>
      <c r="M40">
        <v>64.300422738763501</v>
      </c>
      <c r="N40" s="1">
        <v>2.6987555380232899E-5</v>
      </c>
      <c r="O40">
        <v>4.1887902047863399</v>
      </c>
      <c r="P40">
        <v>0.41158390880314299</v>
      </c>
      <c r="Q40">
        <v>0.182056727348966</v>
      </c>
      <c r="R40">
        <v>12.561324623875599</v>
      </c>
      <c r="S40" s="1">
        <v>-4.7702141267634199E-5</v>
      </c>
      <c r="T40">
        <v>12.546193946429</v>
      </c>
      <c r="U40">
        <v>-3.7942403199055702E-2</v>
      </c>
      <c r="V40">
        <v>2.57141529972273E-4</v>
      </c>
      <c r="W40">
        <v>2</v>
      </c>
      <c r="X40">
        <v>150.79157215777201</v>
      </c>
      <c r="Y40">
        <v>1</v>
      </c>
    </row>
    <row r="41" spans="1:25" x14ac:dyDescent="0.25">
      <c r="A41">
        <v>1</v>
      </c>
      <c r="B41">
        <v>2</v>
      </c>
      <c r="C41" s="1">
        <v>1000000</v>
      </c>
      <c r="D41">
        <v>1</v>
      </c>
      <c r="E41">
        <v>0</v>
      </c>
      <c r="F41">
        <v>1.2749999999999999</v>
      </c>
      <c r="G41">
        <v>5.2750000000000004</v>
      </c>
      <c r="H41">
        <v>1.2749999999999999</v>
      </c>
      <c r="I41">
        <v>0</v>
      </c>
      <c r="J41">
        <v>-1.22539018758797</v>
      </c>
      <c r="K41">
        <v>-6.0600508270908303E-4</v>
      </c>
      <c r="L41">
        <v>14.8872123258939</v>
      </c>
      <c r="M41">
        <v>64.308218875662703</v>
      </c>
      <c r="N41">
        <v>6.66394259285289E-3</v>
      </c>
      <c r="O41">
        <v>4.1887902054283099</v>
      </c>
      <c r="P41">
        <v>0.41572097317773199</v>
      </c>
      <c r="Q41">
        <v>0.21476612054223701</v>
      </c>
      <c r="R41">
        <v>12.561324623795</v>
      </c>
      <c r="S41">
        <v>-1.4302046547626099E-4</v>
      </c>
      <c r="T41">
        <v>12.546193946107</v>
      </c>
      <c r="U41">
        <v>-1.32445065082199E-2</v>
      </c>
      <c r="V41">
        <v>1.2887054689895901E-4</v>
      </c>
      <c r="W41">
        <v>2</v>
      </c>
      <c r="X41">
        <v>150.60918112534401</v>
      </c>
      <c r="Y41">
        <v>1</v>
      </c>
    </row>
    <row r="42" spans="1:25" x14ac:dyDescent="0.25">
      <c r="A42">
        <v>1</v>
      </c>
      <c r="B42">
        <v>2</v>
      </c>
      <c r="C42" s="1">
        <v>1000000</v>
      </c>
      <c r="D42">
        <v>1</v>
      </c>
      <c r="E42">
        <v>0</v>
      </c>
      <c r="F42">
        <v>1.3</v>
      </c>
      <c r="G42">
        <v>5.3</v>
      </c>
      <c r="H42">
        <v>1.3</v>
      </c>
      <c r="I42">
        <v>0</v>
      </c>
      <c r="J42">
        <v>-0.113671353181397</v>
      </c>
      <c r="K42">
        <v>-6.3023531344208103E-4</v>
      </c>
      <c r="L42">
        <v>14.895404610199201</v>
      </c>
      <c r="M42">
        <v>64.357692654550803</v>
      </c>
      <c r="N42" s="1">
        <v>1.5292975929957001E-5</v>
      </c>
      <c r="O42">
        <v>4.1887902047863301</v>
      </c>
      <c r="P42">
        <v>0.39541678666048602</v>
      </c>
      <c r="Q42">
        <v>0.221421731125682</v>
      </c>
      <c r="R42">
        <v>12.561324625473601</v>
      </c>
      <c r="S42">
        <v>-2.41626605283043E-4</v>
      </c>
      <c r="T42">
        <v>12.546193952813599</v>
      </c>
      <c r="U42">
        <v>-4.15563218608536E-3</v>
      </c>
      <c r="V42">
        <v>2.23522772773648E-4</v>
      </c>
      <c r="W42">
        <v>2</v>
      </c>
      <c r="X42">
        <v>151.30389251389201</v>
      </c>
      <c r="Y42">
        <v>1</v>
      </c>
    </row>
    <row r="43" spans="1:25" x14ac:dyDescent="0.25">
      <c r="A43">
        <v>6</v>
      </c>
      <c r="B43">
        <v>2</v>
      </c>
      <c r="C43" s="1">
        <v>1000000</v>
      </c>
      <c r="D43">
        <v>1</v>
      </c>
      <c r="E43">
        <v>0</v>
      </c>
      <c r="F43">
        <v>0.3</v>
      </c>
      <c r="G43">
        <v>4.3</v>
      </c>
      <c r="H43">
        <v>0.3</v>
      </c>
      <c r="I43">
        <v>0</v>
      </c>
      <c r="J43">
        <v>14.016530507130399</v>
      </c>
      <c r="K43">
        <v>14.3260397235477</v>
      </c>
      <c r="L43">
        <v>19.4407668825725</v>
      </c>
      <c r="M43">
        <v>55.896594287261102</v>
      </c>
      <c r="N43">
        <v>7.6507980993528301E-4</v>
      </c>
      <c r="O43">
        <v>4.1887902047863399</v>
      </c>
      <c r="P43">
        <v>7.0688592413089504</v>
      </c>
      <c r="Q43">
        <v>12.772671527019099</v>
      </c>
      <c r="R43">
        <v>12.5613095692598</v>
      </c>
      <c r="S43">
        <v>12.9226324799039</v>
      </c>
      <c r="T43">
        <v>12.546133800472299</v>
      </c>
      <c r="U43">
        <v>0.176961985679955</v>
      </c>
      <c r="V43">
        <v>2</v>
      </c>
      <c r="W43">
        <v>2.1723300000000001</v>
      </c>
      <c r="X43">
        <v>15.4381412289151</v>
      </c>
      <c r="Y43">
        <v>1</v>
      </c>
    </row>
    <row r="44" spans="1:25" x14ac:dyDescent="0.25">
      <c r="A44">
        <v>6</v>
      </c>
      <c r="B44">
        <v>2</v>
      </c>
      <c r="C44" s="1">
        <v>1000000</v>
      </c>
      <c r="D44">
        <v>1</v>
      </c>
      <c r="E44">
        <v>0</v>
      </c>
      <c r="F44">
        <v>0.32500000000000001</v>
      </c>
      <c r="G44">
        <v>4.3250000000000002</v>
      </c>
      <c r="H44">
        <v>0.32500000000000001</v>
      </c>
      <c r="I44">
        <v>0</v>
      </c>
      <c r="J44">
        <v>10.001978239098801</v>
      </c>
      <c r="K44">
        <v>10.215991806727301</v>
      </c>
      <c r="L44">
        <v>17.516301242341498</v>
      </c>
      <c r="M44">
        <v>55.440014217229702</v>
      </c>
      <c r="N44" s="1">
        <v>8.5954716465772802E-5</v>
      </c>
      <c r="O44">
        <v>4.1887902047863301</v>
      </c>
      <c r="P44">
        <v>5.7172939847166102</v>
      </c>
      <c r="Q44">
        <v>12.008135532295899</v>
      </c>
      <c r="R44">
        <v>12.5613199968762</v>
      </c>
      <c r="S44">
        <v>11.446702189382</v>
      </c>
      <c r="T44">
        <v>12.5461754609991</v>
      </c>
      <c r="U44">
        <v>0.13970013271173101</v>
      </c>
      <c r="V44">
        <v>1.9030305621180901</v>
      </c>
      <c r="W44">
        <v>2.0593499999999998</v>
      </c>
      <c r="X44">
        <v>53.906439120159497</v>
      </c>
      <c r="Y44">
        <v>1</v>
      </c>
    </row>
    <row r="45" spans="1:25" x14ac:dyDescent="0.25">
      <c r="A45">
        <v>6</v>
      </c>
      <c r="B45">
        <v>2</v>
      </c>
      <c r="C45" s="1">
        <v>1000000</v>
      </c>
      <c r="D45">
        <v>1</v>
      </c>
      <c r="E45">
        <v>0</v>
      </c>
      <c r="F45">
        <v>0.35</v>
      </c>
      <c r="G45">
        <v>4.3499999999999996</v>
      </c>
      <c r="H45">
        <v>0.35</v>
      </c>
      <c r="I45">
        <v>0</v>
      </c>
      <c r="J45">
        <v>-28.5749247466326</v>
      </c>
      <c r="K45">
        <v>5.2892084797114602</v>
      </c>
      <c r="L45">
        <v>16.310337049116399</v>
      </c>
      <c r="M45">
        <v>56.622532906543199</v>
      </c>
      <c r="N45">
        <v>4.3248527100568E-2</v>
      </c>
      <c r="O45">
        <v>4.1887902046211298</v>
      </c>
      <c r="P45">
        <v>3.7988888841785799</v>
      </c>
      <c r="Q45">
        <v>10.7911296512275</v>
      </c>
      <c r="R45">
        <v>12.561311625235501</v>
      </c>
      <c r="S45">
        <v>9.0450282314922994</v>
      </c>
      <c r="T45">
        <v>12.5461420151774</v>
      </c>
      <c r="U45">
        <v>4.2228965320207798E-2</v>
      </c>
      <c r="V45">
        <v>1.62410086131399</v>
      </c>
      <c r="W45">
        <v>2.00589</v>
      </c>
      <c r="X45">
        <v>85.411082965858</v>
      </c>
      <c r="Y45">
        <v>1</v>
      </c>
    </row>
    <row r="46" spans="1:25" x14ac:dyDescent="0.25">
      <c r="A46">
        <v>6</v>
      </c>
      <c r="B46">
        <v>2</v>
      </c>
      <c r="C46" s="1">
        <v>1000000</v>
      </c>
      <c r="D46">
        <v>1</v>
      </c>
      <c r="E46">
        <v>0</v>
      </c>
      <c r="F46">
        <v>0.375</v>
      </c>
      <c r="G46">
        <v>4.375</v>
      </c>
      <c r="H46">
        <v>0.375</v>
      </c>
      <c r="I46">
        <v>0</v>
      </c>
      <c r="J46">
        <v>2.9844790039670599</v>
      </c>
      <c r="K46">
        <v>2.8682893762745598</v>
      </c>
      <c r="L46">
        <v>15.6633061576518</v>
      </c>
      <c r="M46">
        <v>57.262327748088701</v>
      </c>
      <c r="N46">
        <v>0</v>
      </c>
      <c r="O46">
        <v>4.1887902047863603</v>
      </c>
      <c r="P46">
        <v>2.4591404149002898</v>
      </c>
      <c r="Q46">
        <v>9.9413029037526695</v>
      </c>
      <c r="R46">
        <v>12.5613187642786</v>
      </c>
      <c r="S46">
        <v>7.7511404658558201</v>
      </c>
      <c r="T46">
        <v>12.5461705362661</v>
      </c>
      <c r="U46">
        <v>5.6161762797093499E-2</v>
      </c>
      <c r="V46">
        <v>1.5182767506894801</v>
      </c>
      <c r="W46">
        <v>2</v>
      </c>
      <c r="X46">
        <v>105.603311098756</v>
      </c>
      <c r="Y46">
        <v>1</v>
      </c>
    </row>
    <row r="47" spans="1:25" x14ac:dyDescent="0.25">
      <c r="A47">
        <v>6</v>
      </c>
      <c r="B47">
        <v>2</v>
      </c>
      <c r="C47" s="1">
        <v>1000000</v>
      </c>
      <c r="D47">
        <v>1</v>
      </c>
      <c r="E47">
        <v>0</v>
      </c>
      <c r="F47">
        <v>0.4</v>
      </c>
      <c r="G47">
        <v>4.4000000000000004</v>
      </c>
      <c r="H47">
        <v>0.4</v>
      </c>
      <c r="I47">
        <v>0</v>
      </c>
      <c r="J47">
        <v>1.63106410548493</v>
      </c>
      <c r="K47">
        <v>1.6568152179942499</v>
      </c>
      <c r="L47">
        <v>15.316009308197399</v>
      </c>
      <c r="M47">
        <v>58.017556305588798</v>
      </c>
      <c r="N47">
        <v>0.166493873404395</v>
      </c>
      <c r="O47">
        <v>4.1887901876570899</v>
      </c>
      <c r="P47">
        <v>1.7113024508379799</v>
      </c>
      <c r="Q47">
        <v>9.1583944172051801</v>
      </c>
      <c r="R47">
        <v>12.56131784406</v>
      </c>
      <c r="S47">
        <v>6.6425370473093404</v>
      </c>
      <c r="T47">
        <v>12.5461668599806</v>
      </c>
      <c r="U47">
        <v>4.2441432804648099E-2</v>
      </c>
      <c r="V47">
        <v>1.44817896664535</v>
      </c>
      <c r="W47">
        <v>2</v>
      </c>
      <c r="X47">
        <v>119.157356459269</v>
      </c>
      <c r="Y47">
        <v>1</v>
      </c>
    </row>
    <row r="48" spans="1:25" x14ac:dyDescent="0.25">
      <c r="A48">
        <v>6</v>
      </c>
      <c r="B48">
        <v>2</v>
      </c>
      <c r="C48" s="1">
        <v>1000000</v>
      </c>
      <c r="D48">
        <v>1</v>
      </c>
      <c r="E48">
        <v>0</v>
      </c>
      <c r="F48">
        <v>0.42499999999999999</v>
      </c>
      <c r="G48">
        <v>4.4249999999999998</v>
      </c>
      <c r="H48">
        <v>0.42499999999999999</v>
      </c>
      <c r="I48">
        <v>0</v>
      </c>
      <c r="J48">
        <v>0.93756095999151501</v>
      </c>
      <c r="K48">
        <v>0.98548952850428495</v>
      </c>
      <c r="L48">
        <v>15.116685875364899</v>
      </c>
      <c r="M48">
        <v>59.0279667746793</v>
      </c>
      <c r="N48">
        <v>9.8549090559960806E-2</v>
      </c>
      <c r="O48">
        <v>4.1887902047863497</v>
      </c>
      <c r="P48">
        <v>1.30068888696469</v>
      </c>
      <c r="Q48">
        <v>8.2820550258997105</v>
      </c>
      <c r="R48">
        <v>12.561319082468399</v>
      </c>
      <c r="S48">
        <v>5.4261429317682204</v>
      </c>
      <c r="T48">
        <v>12.5461718075556</v>
      </c>
      <c r="U48">
        <v>4.5514650085712399E-2</v>
      </c>
      <c r="V48">
        <v>1.30703109059274</v>
      </c>
      <c r="W48">
        <v>2</v>
      </c>
      <c r="X48">
        <v>127.024661339247</v>
      </c>
      <c r="Y48">
        <v>1</v>
      </c>
    </row>
    <row r="49" spans="1:25" x14ac:dyDescent="0.25">
      <c r="A49">
        <v>6</v>
      </c>
      <c r="B49">
        <v>2</v>
      </c>
      <c r="C49" s="1">
        <v>1000000</v>
      </c>
      <c r="D49">
        <v>1</v>
      </c>
      <c r="E49">
        <v>0</v>
      </c>
      <c r="F49">
        <v>0.45</v>
      </c>
      <c r="G49">
        <v>4.45</v>
      </c>
      <c r="H49">
        <v>0.45</v>
      </c>
      <c r="I49">
        <v>0</v>
      </c>
      <c r="J49">
        <v>0.59444572283341801</v>
      </c>
      <c r="K49">
        <v>0.62085627903671403</v>
      </c>
      <c r="L49">
        <v>14.9958036411584</v>
      </c>
      <c r="M49">
        <v>59.865914236620704</v>
      </c>
      <c r="N49">
        <v>0.12078344620312401</v>
      </c>
      <c r="O49">
        <v>4.1887902047863896</v>
      </c>
      <c r="P49">
        <v>1.0500721155652</v>
      </c>
      <c r="Q49">
        <v>7.5052976461286498</v>
      </c>
      <c r="R49">
        <v>12.561323704734001</v>
      </c>
      <c r="S49">
        <v>4.4620480919140197</v>
      </c>
      <c r="T49">
        <v>12.5461902743093</v>
      </c>
      <c r="U49">
        <v>4.4810742234033703E-2</v>
      </c>
      <c r="V49">
        <v>1.18757305780702</v>
      </c>
      <c r="W49">
        <v>2</v>
      </c>
      <c r="X49">
        <v>132.52056148311999</v>
      </c>
      <c r="Y49">
        <v>1</v>
      </c>
    </row>
    <row r="50" spans="1:25" x14ac:dyDescent="0.25">
      <c r="A50">
        <v>6</v>
      </c>
      <c r="B50">
        <v>2</v>
      </c>
      <c r="C50" s="1">
        <v>1000000</v>
      </c>
      <c r="D50">
        <v>1</v>
      </c>
      <c r="E50">
        <v>0</v>
      </c>
      <c r="F50">
        <v>0.47499999999999998</v>
      </c>
      <c r="G50">
        <v>4.4749999999999996</v>
      </c>
      <c r="H50">
        <v>0.47499999999999998</v>
      </c>
      <c r="I50">
        <v>0</v>
      </c>
      <c r="J50">
        <v>0.379254054789254</v>
      </c>
      <c r="K50">
        <v>0.39585948420753098</v>
      </c>
      <c r="L50">
        <v>14.919299004230201</v>
      </c>
      <c r="M50">
        <v>60.684392651464997</v>
      </c>
      <c r="N50">
        <v>0.18000044934205101</v>
      </c>
      <c r="O50">
        <v>4.1887902042156702</v>
      </c>
      <c r="P50">
        <v>0.895016377912628</v>
      </c>
      <c r="Q50">
        <v>6.7054323607601303</v>
      </c>
      <c r="R50">
        <v>12.561323677797001</v>
      </c>
      <c r="S50">
        <v>3.5621326198872398</v>
      </c>
      <c r="T50">
        <v>12.546190166689</v>
      </c>
      <c r="U50">
        <v>4.2497759883287002E-2</v>
      </c>
      <c r="V50">
        <v>1.06196537957938</v>
      </c>
      <c r="W50">
        <v>2</v>
      </c>
      <c r="X50">
        <v>136.281959535781</v>
      </c>
      <c r="Y50">
        <v>1</v>
      </c>
    </row>
    <row r="51" spans="1:25" x14ac:dyDescent="0.25">
      <c r="A51">
        <v>6</v>
      </c>
      <c r="B51">
        <v>2</v>
      </c>
      <c r="C51" s="1">
        <v>1000000</v>
      </c>
      <c r="D51">
        <v>1</v>
      </c>
      <c r="E51">
        <v>0</v>
      </c>
      <c r="F51">
        <v>0.5</v>
      </c>
      <c r="G51">
        <v>4.5</v>
      </c>
      <c r="H51">
        <v>0.5</v>
      </c>
      <c r="I51">
        <v>0</v>
      </c>
      <c r="J51">
        <v>0.24225525873916201</v>
      </c>
      <c r="K51">
        <v>0.25589321086983202</v>
      </c>
      <c r="L51">
        <v>14.8704373007462</v>
      </c>
      <c r="M51">
        <v>61.371063291593103</v>
      </c>
      <c r="N51">
        <v>0.257149594599068</v>
      </c>
      <c r="O51">
        <v>4.1887902032484199</v>
      </c>
      <c r="P51">
        <v>0.790604386170352</v>
      </c>
      <c r="Q51">
        <v>5.9666894418287599</v>
      </c>
      <c r="R51">
        <v>12.561322235417499</v>
      </c>
      <c r="S51">
        <v>2.82254105837101</v>
      </c>
      <c r="T51">
        <v>12.5461844041413</v>
      </c>
      <c r="U51">
        <v>4.8991212443309402E-2</v>
      </c>
      <c r="V51">
        <v>0.94457259909642</v>
      </c>
      <c r="W51">
        <v>2</v>
      </c>
      <c r="X51">
        <v>138.983581914669</v>
      </c>
      <c r="Y51">
        <v>1</v>
      </c>
    </row>
    <row r="52" spans="1:25" x14ac:dyDescent="0.25">
      <c r="A52">
        <v>6</v>
      </c>
      <c r="B52">
        <v>2</v>
      </c>
      <c r="C52" s="1">
        <v>1000000</v>
      </c>
      <c r="D52">
        <v>1</v>
      </c>
      <c r="E52">
        <v>0</v>
      </c>
      <c r="F52">
        <v>0.52500000000000002</v>
      </c>
      <c r="G52">
        <v>4.5250000000000004</v>
      </c>
      <c r="H52">
        <v>0.52500000000000002</v>
      </c>
      <c r="I52">
        <v>0</v>
      </c>
      <c r="J52">
        <v>0.15361845588076201</v>
      </c>
      <c r="K52">
        <v>0.161191081284352</v>
      </c>
      <c r="L52">
        <v>14.8394423333562</v>
      </c>
      <c r="M52">
        <v>61.992383713101702</v>
      </c>
      <c r="N52">
        <v>0.219312840493296</v>
      </c>
      <c r="O52">
        <v>4.18879020217984</v>
      </c>
      <c r="P52">
        <v>0.71967443178885104</v>
      </c>
      <c r="Q52">
        <v>5.2279717041638101</v>
      </c>
      <c r="R52">
        <v>12.5613215803738</v>
      </c>
      <c r="S52">
        <v>2.16662592547782</v>
      </c>
      <c r="T52">
        <v>12.546181787131699</v>
      </c>
      <c r="U52">
        <v>5.0530221903063999E-2</v>
      </c>
      <c r="V52">
        <v>0.82802113531168098</v>
      </c>
      <c r="W52">
        <v>2</v>
      </c>
      <c r="X52">
        <v>140.96328220935899</v>
      </c>
      <c r="Y52">
        <v>1</v>
      </c>
    </row>
    <row r="53" spans="1:25" x14ac:dyDescent="0.25">
      <c r="A53">
        <v>6</v>
      </c>
      <c r="B53">
        <v>2</v>
      </c>
      <c r="C53" s="1">
        <v>1000000</v>
      </c>
      <c r="D53">
        <v>1</v>
      </c>
      <c r="E53">
        <v>0</v>
      </c>
      <c r="F53">
        <v>0.55000000000000004</v>
      </c>
      <c r="G53">
        <v>4.55</v>
      </c>
      <c r="H53">
        <v>0.55000000000000004</v>
      </c>
      <c r="I53">
        <v>0</v>
      </c>
      <c r="J53">
        <v>9.2966838556058196E-2</v>
      </c>
      <c r="K53">
        <v>9.6701257534649004E-2</v>
      </c>
      <c r="L53">
        <v>14.8202633486725</v>
      </c>
      <c r="M53">
        <v>62.523707527230599</v>
      </c>
      <c r="N53">
        <v>0.25044311803450098</v>
      </c>
      <c r="O53">
        <v>4.1887901951670496</v>
      </c>
      <c r="P53">
        <v>0.66920103192536995</v>
      </c>
      <c r="Q53">
        <v>4.5144253776714001</v>
      </c>
      <c r="R53">
        <v>12.5613208557177</v>
      </c>
      <c r="S53">
        <v>1.61308458339671</v>
      </c>
      <c r="T53">
        <v>12.546178891997201</v>
      </c>
      <c r="U53">
        <v>5.4580861921686999E-2</v>
      </c>
      <c r="V53">
        <v>0.71134120449529004</v>
      </c>
      <c r="W53">
        <v>2</v>
      </c>
      <c r="X53">
        <v>142.38317828729799</v>
      </c>
      <c r="Y53">
        <v>1</v>
      </c>
    </row>
    <row r="54" spans="1:25" x14ac:dyDescent="0.25">
      <c r="A54">
        <v>6</v>
      </c>
      <c r="B54">
        <v>2</v>
      </c>
      <c r="C54" s="1">
        <v>1000000</v>
      </c>
      <c r="D54">
        <v>1</v>
      </c>
      <c r="E54">
        <v>0</v>
      </c>
      <c r="F54">
        <v>0.57499999999999996</v>
      </c>
      <c r="G54">
        <v>4.5750000000000002</v>
      </c>
      <c r="H54">
        <v>0.57499999999999996</v>
      </c>
      <c r="I54">
        <v>0</v>
      </c>
      <c r="J54">
        <v>5.0266257717736199E-2</v>
      </c>
      <c r="K54">
        <v>5.3594822214616498E-2</v>
      </c>
      <c r="L54">
        <v>14.8091663472505</v>
      </c>
      <c r="M54">
        <v>62.954642340686803</v>
      </c>
      <c r="N54">
        <v>0.26206716634687</v>
      </c>
      <c r="O54">
        <v>4.1887902031715001</v>
      </c>
      <c r="P54">
        <v>0.63201261158144395</v>
      </c>
      <c r="Q54">
        <v>3.8441937327203899</v>
      </c>
      <c r="R54">
        <v>12.561318925891401</v>
      </c>
      <c r="S54">
        <v>1.16860621027182</v>
      </c>
      <c r="T54">
        <v>12.5461711820082</v>
      </c>
      <c r="U54">
        <v>5.1218956294074199E-2</v>
      </c>
      <c r="V54">
        <v>0.60386459958445005</v>
      </c>
      <c r="W54">
        <v>2</v>
      </c>
      <c r="X54">
        <v>143.56061902642799</v>
      </c>
      <c r="Y54">
        <v>1</v>
      </c>
    </row>
    <row r="55" spans="1:25" x14ac:dyDescent="0.25">
      <c r="A55">
        <v>6</v>
      </c>
      <c r="B55">
        <v>2</v>
      </c>
      <c r="C55" s="1">
        <v>1000000</v>
      </c>
      <c r="D55">
        <v>1</v>
      </c>
      <c r="E55">
        <v>0</v>
      </c>
      <c r="F55">
        <v>0.6</v>
      </c>
      <c r="G55">
        <v>4.5999999999999996</v>
      </c>
      <c r="H55">
        <v>0.6</v>
      </c>
      <c r="I55">
        <v>0</v>
      </c>
      <c r="J55">
        <v>2.1776119830836702E-2</v>
      </c>
      <c r="K55">
        <v>2.3485459289067999E-2</v>
      </c>
      <c r="L55">
        <v>14.8038786250633</v>
      </c>
      <c r="M55">
        <v>63.329791504235601</v>
      </c>
      <c r="N55">
        <v>0.276922334888132</v>
      </c>
      <c r="O55">
        <v>4.1887901905582297</v>
      </c>
      <c r="P55">
        <v>0.60665379999245295</v>
      </c>
      <c r="Q55">
        <v>3.1504654975817998</v>
      </c>
      <c r="R55">
        <v>12.5613205408916</v>
      </c>
      <c r="S55">
        <v>0.78607734721740297</v>
      </c>
      <c r="T55">
        <v>12.5461776341815</v>
      </c>
      <c r="U55">
        <v>5.9851038712617398E-2</v>
      </c>
      <c r="V55">
        <v>0.494721599619032</v>
      </c>
      <c r="W55">
        <v>2</v>
      </c>
      <c r="X55">
        <v>144.367811349731</v>
      </c>
      <c r="Y55">
        <v>1</v>
      </c>
    </row>
    <row r="56" spans="1:25" x14ac:dyDescent="0.25">
      <c r="A56">
        <v>6</v>
      </c>
      <c r="B56">
        <v>2</v>
      </c>
      <c r="C56" s="1">
        <v>1000000</v>
      </c>
      <c r="D56">
        <v>1</v>
      </c>
      <c r="E56">
        <v>0</v>
      </c>
      <c r="F56">
        <v>0.625</v>
      </c>
      <c r="G56">
        <v>4.625</v>
      </c>
      <c r="H56">
        <v>0.625</v>
      </c>
      <c r="I56">
        <v>0</v>
      </c>
      <c r="J56">
        <v>1.00040197234971E-2</v>
      </c>
      <c r="K56">
        <v>3.6689958015028901E-3</v>
      </c>
      <c r="L56">
        <v>14.802130245306101</v>
      </c>
      <c r="M56">
        <v>63.637068961728197</v>
      </c>
      <c r="N56">
        <v>4.7569758420625101E-2</v>
      </c>
      <c r="O56">
        <v>4.1887902047668</v>
      </c>
      <c r="P56">
        <v>0.58819496870801702</v>
      </c>
      <c r="Q56">
        <v>2.4541322966586301</v>
      </c>
      <c r="R56">
        <v>12.5613158114691</v>
      </c>
      <c r="S56">
        <v>0.47531800340192099</v>
      </c>
      <c r="T56">
        <v>12.5461587393121</v>
      </c>
      <c r="U56">
        <v>5.2647741310059899E-2</v>
      </c>
      <c r="V56">
        <v>0.382938224531923</v>
      </c>
      <c r="W56">
        <v>2</v>
      </c>
      <c r="X56">
        <v>144.946678070129</v>
      </c>
      <c r="Y56">
        <v>1</v>
      </c>
    </row>
    <row r="57" spans="1:25" x14ac:dyDescent="0.25">
      <c r="A57">
        <v>6</v>
      </c>
      <c r="B57">
        <v>2</v>
      </c>
      <c r="C57" s="1">
        <v>1000000</v>
      </c>
      <c r="D57">
        <v>1</v>
      </c>
      <c r="E57">
        <v>0</v>
      </c>
      <c r="F57">
        <v>0.65</v>
      </c>
      <c r="G57">
        <v>4.6500000000000004</v>
      </c>
      <c r="H57">
        <v>0.65</v>
      </c>
      <c r="I57">
        <v>0</v>
      </c>
      <c r="J57">
        <v>-1.15506297447482E-2</v>
      </c>
      <c r="K57">
        <v>-6.2034201928173899E-3</v>
      </c>
      <c r="L57">
        <v>14.803074983637099</v>
      </c>
      <c r="M57">
        <v>63.848274535235802</v>
      </c>
      <c r="N57">
        <v>0.18183924991025399</v>
      </c>
      <c r="O57">
        <v>4.1887902041443699</v>
      </c>
      <c r="P57">
        <v>0.57591892099046804</v>
      </c>
      <c r="Q57">
        <v>1.8270330205543099</v>
      </c>
      <c r="R57">
        <v>12.5613220833486</v>
      </c>
      <c r="S57">
        <v>0.26392554546848301</v>
      </c>
      <c r="T57">
        <v>12.546183796544</v>
      </c>
      <c r="U57">
        <v>6.1507303617029101E-2</v>
      </c>
      <c r="V57">
        <v>0.28516828594296501</v>
      </c>
      <c r="W57">
        <v>2</v>
      </c>
      <c r="X57">
        <v>145.393601218952</v>
      </c>
      <c r="Y57">
        <v>1</v>
      </c>
    </row>
    <row r="58" spans="1:25" x14ac:dyDescent="0.25">
      <c r="A58">
        <v>6</v>
      </c>
      <c r="B58">
        <v>2</v>
      </c>
      <c r="C58" s="1">
        <v>1000000</v>
      </c>
      <c r="D58">
        <v>1</v>
      </c>
      <c r="E58">
        <v>0</v>
      </c>
      <c r="F58">
        <v>0.67500000000000004</v>
      </c>
      <c r="G58">
        <v>4.6749999999999998</v>
      </c>
      <c r="H58">
        <v>0.67500000000000004</v>
      </c>
      <c r="I58">
        <v>0</v>
      </c>
      <c r="J58">
        <v>-1.8235612305086898E-2</v>
      </c>
      <c r="K58">
        <v>-9.6295630696635794E-3</v>
      </c>
      <c r="L58">
        <v>14.804788037999201</v>
      </c>
      <c r="M58">
        <v>64.024689872059596</v>
      </c>
      <c r="N58">
        <v>0.113715705154307</v>
      </c>
      <c r="O58">
        <v>4.1887902047767502</v>
      </c>
      <c r="P58">
        <v>0.56979657171162301</v>
      </c>
      <c r="Q58">
        <v>1.0599103202332301</v>
      </c>
      <c r="R58">
        <v>12.5613222587842</v>
      </c>
      <c r="S58">
        <v>8.8253370199438699E-2</v>
      </c>
      <c r="T58">
        <v>12.5461844974344</v>
      </c>
      <c r="U58">
        <v>5.6926331892485103E-2</v>
      </c>
      <c r="V58">
        <v>0.16400857653777601</v>
      </c>
      <c r="W58">
        <v>2</v>
      </c>
      <c r="X58">
        <v>145.58283892345599</v>
      </c>
      <c r="Y58">
        <v>1</v>
      </c>
    </row>
    <row r="59" spans="1:25" x14ac:dyDescent="0.25">
      <c r="A59">
        <v>6</v>
      </c>
      <c r="B59">
        <v>2</v>
      </c>
      <c r="C59" s="1">
        <v>1000000</v>
      </c>
      <c r="D59">
        <v>1</v>
      </c>
      <c r="E59">
        <v>0</v>
      </c>
      <c r="F59">
        <v>0.7</v>
      </c>
      <c r="G59">
        <v>4.7</v>
      </c>
      <c r="H59">
        <v>0.7</v>
      </c>
      <c r="I59">
        <v>0</v>
      </c>
      <c r="J59">
        <v>-2.5085626073157501E-2</v>
      </c>
      <c r="K59">
        <v>-6.9094457390629404E-3</v>
      </c>
      <c r="L59">
        <v>14.8070346020064</v>
      </c>
      <c r="M59">
        <v>64.093153085085007</v>
      </c>
      <c r="N59">
        <v>3.5101702439665601E-2</v>
      </c>
      <c r="O59">
        <v>4.18879020478228</v>
      </c>
      <c r="P59">
        <v>0.56312588943521602</v>
      </c>
      <c r="Q59">
        <v>0.53210801368124605</v>
      </c>
      <c r="R59">
        <v>12.5613226216709</v>
      </c>
      <c r="S59">
        <v>2.1677399748593298E-2</v>
      </c>
      <c r="T59">
        <v>12.5461859472241</v>
      </c>
      <c r="U59">
        <v>4.8245918625585298E-2</v>
      </c>
      <c r="V59">
        <v>7.9594661810336406E-2</v>
      </c>
      <c r="W59">
        <v>2</v>
      </c>
      <c r="X59">
        <v>145.86399150650999</v>
      </c>
      <c r="Y59">
        <v>1</v>
      </c>
    </row>
    <row r="60" spans="1:25" x14ac:dyDescent="0.25">
      <c r="A60">
        <v>6</v>
      </c>
      <c r="B60">
        <v>2</v>
      </c>
      <c r="C60" s="1">
        <v>1000000</v>
      </c>
      <c r="D60">
        <v>1</v>
      </c>
      <c r="E60">
        <v>0</v>
      </c>
      <c r="F60">
        <v>0.72499999999999998</v>
      </c>
      <c r="G60">
        <v>4.7249999999999996</v>
      </c>
      <c r="H60">
        <v>0.72499999999999998</v>
      </c>
      <c r="I60">
        <v>0</v>
      </c>
      <c r="J60">
        <v>-3.7161652352526602E-2</v>
      </c>
      <c r="K60">
        <v>-6.3968101482826303E-3</v>
      </c>
      <c r="L60">
        <v>14.811668752520401</v>
      </c>
      <c r="M60">
        <v>64.102421553532096</v>
      </c>
      <c r="N60">
        <v>8.5479997654500407E-3</v>
      </c>
      <c r="O60">
        <v>4.1887902047863701</v>
      </c>
      <c r="P60">
        <v>0.55336906210491499</v>
      </c>
      <c r="Q60">
        <v>0.47452676336107302</v>
      </c>
      <c r="R60">
        <v>12.5613234972309</v>
      </c>
      <c r="S60">
        <v>1.7003498137768702E-2</v>
      </c>
      <c r="T60">
        <v>12.5461894452575</v>
      </c>
      <c r="U60">
        <v>3.8031279211325798E-2</v>
      </c>
      <c r="V60">
        <v>6.9960965142474393E-2</v>
      </c>
      <c r="W60">
        <v>2</v>
      </c>
      <c r="X60">
        <v>146.17972387602501</v>
      </c>
      <c r="Y60">
        <v>1</v>
      </c>
    </row>
    <row r="61" spans="1:25" x14ac:dyDescent="0.25">
      <c r="A61">
        <v>6</v>
      </c>
      <c r="B61">
        <v>2</v>
      </c>
      <c r="C61" s="1">
        <v>1000000</v>
      </c>
      <c r="D61">
        <v>1</v>
      </c>
      <c r="E61">
        <v>0</v>
      </c>
      <c r="F61">
        <v>0.75</v>
      </c>
      <c r="G61">
        <v>4.75</v>
      </c>
      <c r="H61">
        <v>0.75</v>
      </c>
      <c r="I61">
        <v>0</v>
      </c>
      <c r="J61">
        <v>-5.2283859966954803E-2</v>
      </c>
      <c r="K61">
        <v>-6.3576206622629203E-3</v>
      </c>
      <c r="L61">
        <v>14.818393991034499</v>
      </c>
      <c r="M61">
        <v>64.109747330082499</v>
      </c>
      <c r="N61">
        <v>1.33914855558297E-2</v>
      </c>
      <c r="O61">
        <v>4.1887902047863497</v>
      </c>
      <c r="P61">
        <v>0.54087858383906096</v>
      </c>
      <c r="Q61">
        <v>0.46696653834250801</v>
      </c>
      <c r="R61">
        <v>12.5613238428929</v>
      </c>
      <c r="S61">
        <v>1.6390343750870898E-2</v>
      </c>
      <c r="T61">
        <v>12.546190826247001</v>
      </c>
      <c r="U61">
        <v>3.5085524996601697E-2</v>
      </c>
      <c r="V61">
        <v>6.8492161907242305E-2</v>
      </c>
      <c r="W61">
        <v>2</v>
      </c>
      <c r="X61">
        <v>146.58564000798401</v>
      </c>
      <c r="Y61">
        <v>1</v>
      </c>
    </row>
    <row r="62" spans="1:25" x14ac:dyDescent="0.25">
      <c r="A62">
        <v>6</v>
      </c>
      <c r="B62">
        <v>2</v>
      </c>
      <c r="C62" s="1">
        <v>1000000</v>
      </c>
      <c r="D62">
        <v>1</v>
      </c>
      <c r="E62">
        <v>0</v>
      </c>
      <c r="F62">
        <v>0.77500000000000002</v>
      </c>
      <c r="G62">
        <v>4.7750000000000004</v>
      </c>
      <c r="H62">
        <v>0.77500000000000002</v>
      </c>
      <c r="I62">
        <v>0</v>
      </c>
      <c r="J62">
        <v>-6.4243263363559802E-2</v>
      </c>
      <c r="K62">
        <v>-6.24254781276261E-3</v>
      </c>
      <c r="L62">
        <v>14.8266610458386</v>
      </c>
      <c r="M62">
        <v>64.119027187150806</v>
      </c>
      <c r="N62">
        <v>1.5839690831706799E-3</v>
      </c>
      <c r="O62">
        <v>4.1887902047863799</v>
      </c>
      <c r="P62">
        <v>0.53529947655628995</v>
      </c>
      <c r="Q62">
        <v>0.45390164684851703</v>
      </c>
      <c r="R62">
        <v>12.561324093619699</v>
      </c>
      <c r="S62">
        <v>1.53606668478629E-2</v>
      </c>
      <c r="T62">
        <v>12.5461918279515</v>
      </c>
      <c r="U62">
        <v>2.8867346346752001E-2</v>
      </c>
      <c r="V62">
        <v>6.6092111672236498E-2</v>
      </c>
      <c r="W62">
        <v>2</v>
      </c>
      <c r="X62">
        <v>146.71356652458201</v>
      </c>
      <c r="Y62">
        <v>1</v>
      </c>
    </row>
    <row r="63" spans="1:25" x14ac:dyDescent="0.25">
      <c r="A63">
        <v>6</v>
      </c>
      <c r="B63">
        <v>2</v>
      </c>
      <c r="C63" s="1">
        <v>1000000</v>
      </c>
      <c r="D63">
        <v>1</v>
      </c>
      <c r="E63">
        <v>0</v>
      </c>
      <c r="F63">
        <v>0.8</v>
      </c>
      <c r="G63">
        <v>4.8</v>
      </c>
      <c r="H63">
        <v>0.8</v>
      </c>
      <c r="I63">
        <v>0</v>
      </c>
      <c r="J63">
        <v>-6.5196948868131002E-2</v>
      </c>
      <c r="K63">
        <v>-5.7831509475689399E-3</v>
      </c>
      <c r="L63">
        <v>14.8353876421832</v>
      </c>
      <c r="M63">
        <v>64.130608152178894</v>
      </c>
      <c r="N63">
        <v>1.47170590001313E-3</v>
      </c>
      <c r="O63">
        <v>4.1887902047863799</v>
      </c>
      <c r="P63">
        <v>0.52673206899382197</v>
      </c>
      <c r="Q63">
        <v>0.41052868343250398</v>
      </c>
      <c r="R63">
        <v>12.5613242221999</v>
      </c>
      <c r="S63">
        <v>1.24832409693341E-2</v>
      </c>
      <c r="T63">
        <v>12.5461923416558</v>
      </c>
      <c r="U63">
        <v>2.4572396927875401E-2</v>
      </c>
      <c r="V63">
        <v>5.9274987259475102E-2</v>
      </c>
      <c r="W63">
        <v>2</v>
      </c>
      <c r="X63">
        <v>147.011056236771</v>
      </c>
      <c r="Y63">
        <v>1</v>
      </c>
    </row>
    <row r="64" spans="1:25" x14ac:dyDescent="0.25">
      <c r="A64">
        <v>6</v>
      </c>
      <c r="B64">
        <v>2</v>
      </c>
      <c r="C64" s="1">
        <v>1000000</v>
      </c>
      <c r="D64">
        <v>1</v>
      </c>
      <c r="E64">
        <v>0</v>
      </c>
      <c r="F64">
        <v>0.82499999999999996</v>
      </c>
      <c r="G64">
        <v>4.8250000000000002</v>
      </c>
      <c r="H64">
        <v>0.82499999999999996</v>
      </c>
      <c r="I64">
        <v>0</v>
      </c>
      <c r="J64">
        <v>-8.3255730107617706E-2</v>
      </c>
      <c r="K64">
        <v>-5.6211714829789297E-3</v>
      </c>
      <c r="L64">
        <v>14.845549616451001</v>
      </c>
      <c r="M64">
        <v>64.141720694922896</v>
      </c>
      <c r="N64">
        <v>3.1802375860077998E-3</v>
      </c>
      <c r="O64">
        <v>4.1887902047863497</v>
      </c>
      <c r="P64">
        <v>0.51623146188575497</v>
      </c>
      <c r="Q64">
        <v>0.39473301974599401</v>
      </c>
      <c r="R64">
        <v>12.561324334146301</v>
      </c>
      <c r="S64">
        <v>1.15102900980761E-2</v>
      </c>
      <c r="T64">
        <v>12.546192788904699</v>
      </c>
      <c r="U64">
        <v>1.87832682491079E-2</v>
      </c>
      <c r="V64">
        <v>5.6894886277604001E-2</v>
      </c>
      <c r="W64">
        <v>2</v>
      </c>
      <c r="X64">
        <v>147.36072897471101</v>
      </c>
      <c r="Y64">
        <v>1</v>
      </c>
    </row>
    <row r="65" spans="1:25" x14ac:dyDescent="0.25">
      <c r="A65">
        <v>6</v>
      </c>
      <c r="B65">
        <v>2</v>
      </c>
      <c r="C65" s="1">
        <v>1000000</v>
      </c>
      <c r="D65">
        <v>1</v>
      </c>
      <c r="E65">
        <v>0</v>
      </c>
      <c r="F65">
        <v>0.85</v>
      </c>
      <c r="G65">
        <v>4.8499999999999996</v>
      </c>
      <c r="H65">
        <v>0.85</v>
      </c>
      <c r="I65">
        <v>0</v>
      </c>
      <c r="J65">
        <v>-7.8693602832386397E-2</v>
      </c>
      <c r="K65">
        <v>-4.9770871932556804E-3</v>
      </c>
      <c r="L65">
        <v>14.8550528338071</v>
      </c>
      <c r="M65">
        <v>64.154234864371602</v>
      </c>
      <c r="N65">
        <v>2.6271486845589101E-3</v>
      </c>
      <c r="O65">
        <v>4.1887902047863399</v>
      </c>
      <c r="P65">
        <v>0.50566327306010805</v>
      </c>
      <c r="Q65">
        <v>0.34015375599719699</v>
      </c>
      <c r="R65">
        <v>12.561324492380701</v>
      </c>
      <c r="S65">
        <v>8.4716223070097092E-3</v>
      </c>
      <c r="T65">
        <v>12.546193421081099</v>
      </c>
      <c r="U65">
        <v>7.3699636811971302E-3</v>
      </c>
      <c r="V65">
        <v>4.8583003490794002E-2</v>
      </c>
      <c r="W65">
        <v>2</v>
      </c>
      <c r="X65">
        <v>147.63501785654901</v>
      </c>
      <c r="Y65">
        <v>1</v>
      </c>
    </row>
    <row r="66" spans="1:25" x14ac:dyDescent="0.25">
      <c r="A66">
        <v>6</v>
      </c>
      <c r="B66">
        <v>2</v>
      </c>
      <c r="C66" s="1">
        <v>1000000</v>
      </c>
      <c r="D66">
        <v>1</v>
      </c>
      <c r="E66">
        <v>0</v>
      </c>
      <c r="F66">
        <v>0.875</v>
      </c>
      <c r="G66">
        <v>4.875</v>
      </c>
      <c r="H66">
        <v>0.875</v>
      </c>
      <c r="I66">
        <v>0</v>
      </c>
      <c r="J66">
        <v>-8.5197730430700003E-2</v>
      </c>
      <c r="K66">
        <v>-4.3167526232446296E-3</v>
      </c>
      <c r="L66">
        <v>14.8648639125933</v>
      </c>
      <c r="M66">
        <v>64.166448881178297</v>
      </c>
      <c r="N66">
        <v>2.44988470826112E-4</v>
      </c>
      <c r="O66">
        <v>4.1887902047863497</v>
      </c>
      <c r="P66">
        <v>0.49790207980611501</v>
      </c>
      <c r="Q66">
        <v>0.28824924862069001</v>
      </c>
      <c r="R66">
        <v>12.561324529365001</v>
      </c>
      <c r="S66">
        <v>6.0399312660994403E-3</v>
      </c>
      <c r="T66">
        <v>12.546193568841</v>
      </c>
      <c r="U66">
        <v>-2.22714522658884E-3</v>
      </c>
      <c r="V66">
        <v>4.0910789602091199E-2</v>
      </c>
      <c r="W66">
        <v>2</v>
      </c>
      <c r="X66">
        <v>147.89764604180201</v>
      </c>
      <c r="Y66">
        <v>1</v>
      </c>
    </row>
    <row r="67" spans="1:25" x14ac:dyDescent="0.25">
      <c r="A67">
        <v>6</v>
      </c>
      <c r="B67">
        <v>2</v>
      </c>
      <c r="C67" s="1">
        <v>1000000</v>
      </c>
      <c r="D67">
        <v>1</v>
      </c>
      <c r="E67">
        <v>0</v>
      </c>
      <c r="F67">
        <v>0.9</v>
      </c>
      <c r="G67">
        <v>4.9000000000000004</v>
      </c>
      <c r="H67">
        <v>0.9</v>
      </c>
      <c r="I67">
        <v>0</v>
      </c>
      <c r="J67">
        <v>-6.6798958356255697E-2</v>
      </c>
      <c r="K67">
        <v>-1.8353044732403101E-3</v>
      </c>
      <c r="L67">
        <v>14.8674057266816</v>
      </c>
      <c r="M67">
        <v>64.174059205835206</v>
      </c>
      <c r="N67">
        <v>5.2814171837279298E-4</v>
      </c>
      <c r="O67">
        <v>4.1887902047863497</v>
      </c>
      <c r="P67">
        <v>0.49773561120530202</v>
      </c>
      <c r="Q67">
        <v>0.114739654280148</v>
      </c>
      <c r="R67">
        <v>12.561324541562501</v>
      </c>
      <c r="S67">
        <v>9.2820691728778696E-4</v>
      </c>
      <c r="T67">
        <v>12.546193617572399</v>
      </c>
      <c r="U67">
        <v>-1.21069319933756E-3</v>
      </c>
      <c r="V67">
        <v>1.5839071153986198E-2</v>
      </c>
      <c r="W67">
        <v>2</v>
      </c>
      <c r="X67">
        <v>147.938359980288</v>
      </c>
      <c r="Y67">
        <v>1</v>
      </c>
    </row>
    <row r="68" spans="1:25" x14ac:dyDescent="0.25">
      <c r="A68">
        <v>6</v>
      </c>
      <c r="B68">
        <v>2</v>
      </c>
      <c r="C68" s="1">
        <v>1000000</v>
      </c>
      <c r="D68">
        <v>1</v>
      </c>
      <c r="E68">
        <v>0</v>
      </c>
      <c r="F68">
        <v>0.92500000000000004</v>
      </c>
      <c r="G68">
        <v>4.9249999999999998</v>
      </c>
      <c r="H68">
        <v>0.92500000000000004</v>
      </c>
      <c r="I68">
        <v>0</v>
      </c>
      <c r="J68">
        <v>-8.0311180782281999E-2</v>
      </c>
      <c r="K68">
        <v>-1.5208111437119E-3</v>
      </c>
      <c r="L68">
        <v>14.8780539956613</v>
      </c>
      <c r="M68">
        <v>64.184976992735102</v>
      </c>
      <c r="N68">
        <v>8.6113727525224102E-4</v>
      </c>
      <c r="O68">
        <v>4.1887902047863301</v>
      </c>
      <c r="P68">
        <v>0.48650646030397299</v>
      </c>
      <c r="Q68">
        <v>9.4395002472871803E-2</v>
      </c>
      <c r="R68">
        <v>12.561324565859</v>
      </c>
      <c r="S68">
        <v>6.4012781099649803E-4</v>
      </c>
      <c r="T68">
        <v>12.546193714642</v>
      </c>
      <c r="U68">
        <v>-6.9683527319695402E-3</v>
      </c>
      <c r="V68">
        <v>1.32311647408529E-2</v>
      </c>
      <c r="W68">
        <v>2</v>
      </c>
      <c r="X68">
        <v>148.320577162121</v>
      </c>
      <c r="Y68">
        <v>1</v>
      </c>
    </row>
    <row r="69" spans="1:25" x14ac:dyDescent="0.25">
      <c r="A69">
        <v>6</v>
      </c>
      <c r="B69">
        <v>2</v>
      </c>
      <c r="C69" s="1">
        <v>1000000</v>
      </c>
      <c r="D69">
        <v>1</v>
      </c>
      <c r="E69">
        <v>0</v>
      </c>
      <c r="F69">
        <v>0.95</v>
      </c>
      <c r="G69">
        <v>4.95</v>
      </c>
      <c r="H69">
        <v>0.95</v>
      </c>
      <c r="I69">
        <v>0</v>
      </c>
      <c r="J69">
        <v>0.23108132526805</v>
      </c>
      <c r="K69">
        <v>0</v>
      </c>
      <c r="L69">
        <v>14.884219657688799</v>
      </c>
      <c r="M69">
        <v>64.191697929169194</v>
      </c>
      <c r="N69">
        <v>8.0840190592736095E-4</v>
      </c>
      <c r="O69">
        <v>4.1887902047863301</v>
      </c>
      <c r="P69">
        <v>0.47992857496355801</v>
      </c>
      <c r="Q69">
        <v>2.26821041370057E-2</v>
      </c>
      <c r="R69">
        <v>12.561324577950501</v>
      </c>
      <c r="S69" s="1">
        <v>3.7305521970142601E-5</v>
      </c>
      <c r="T69">
        <v>12.5461937629497</v>
      </c>
      <c r="U69">
        <v>-9.9964438329502997E-3</v>
      </c>
      <c r="V69">
        <v>3.2220137531379601E-3</v>
      </c>
      <c r="W69">
        <v>2</v>
      </c>
      <c r="X69">
        <v>148.55862079958601</v>
      </c>
      <c r="Y69">
        <v>1</v>
      </c>
    </row>
    <row r="70" spans="1:25" x14ac:dyDescent="0.25">
      <c r="A70">
        <v>6</v>
      </c>
      <c r="B70">
        <v>2</v>
      </c>
      <c r="C70" s="1">
        <v>1000000</v>
      </c>
      <c r="D70">
        <v>1</v>
      </c>
      <c r="E70">
        <v>0</v>
      </c>
      <c r="F70">
        <v>0.97499999999999998</v>
      </c>
      <c r="G70">
        <v>4.9749999999999996</v>
      </c>
      <c r="H70">
        <v>0.97499999999999998</v>
      </c>
      <c r="I70">
        <v>0</v>
      </c>
      <c r="J70">
        <v>-4.69228590606557E-2</v>
      </c>
      <c r="K70">
        <v>0</v>
      </c>
      <c r="L70">
        <v>14.893934931779601</v>
      </c>
      <c r="M70">
        <v>64.201365151125003</v>
      </c>
      <c r="N70">
        <v>7.1896999450593504E-4</v>
      </c>
      <c r="O70">
        <v>4.1887902047863603</v>
      </c>
      <c r="P70">
        <v>0.46964265528267901</v>
      </c>
      <c r="Q70">
        <v>0.16648577201404999</v>
      </c>
      <c r="R70">
        <v>12.5613245764652</v>
      </c>
      <c r="S70" s="1">
        <v>7.7908629630061806E-6</v>
      </c>
      <c r="T70">
        <v>12.546193757016001</v>
      </c>
      <c r="U70">
        <v>-1.02203832505322E-2</v>
      </c>
      <c r="V70">
        <v>1.1224604345291701E-3</v>
      </c>
      <c r="W70">
        <v>2</v>
      </c>
      <c r="X70">
        <v>148.93370809078701</v>
      </c>
      <c r="Y70">
        <v>1</v>
      </c>
    </row>
    <row r="71" spans="1:25" x14ac:dyDescent="0.25">
      <c r="A71">
        <v>6</v>
      </c>
      <c r="B71">
        <v>2</v>
      </c>
      <c r="C71" s="1">
        <v>1000000</v>
      </c>
      <c r="D71">
        <v>1</v>
      </c>
      <c r="E71">
        <v>0</v>
      </c>
      <c r="F71">
        <v>1</v>
      </c>
      <c r="G71">
        <v>5</v>
      </c>
      <c r="H71">
        <v>1</v>
      </c>
      <c r="I71">
        <v>0</v>
      </c>
      <c r="J71">
        <v>-5.3937493674225297E-2</v>
      </c>
      <c r="K71">
        <v>0</v>
      </c>
      <c r="L71">
        <v>14.8676032708906</v>
      </c>
      <c r="M71">
        <v>64.176810268931305</v>
      </c>
      <c r="N71" s="1">
        <v>5.0195118769780099E-5</v>
      </c>
      <c r="O71">
        <v>4.1887902047863301</v>
      </c>
      <c r="P71">
        <v>0.49093273280282101</v>
      </c>
      <c r="Q71">
        <v>0.83452766991267902</v>
      </c>
      <c r="R71">
        <v>12.561324597695901</v>
      </c>
      <c r="S71">
        <v>-1.90054260597417E-3</v>
      </c>
      <c r="T71">
        <v>12.5461938418365</v>
      </c>
      <c r="U71">
        <v>1.15831197835683E-2</v>
      </c>
      <c r="V71">
        <v>8.2262495488263801E-4</v>
      </c>
      <c r="W71">
        <v>2</v>
      </c>
      <c r="X71">
        <v>148.24640718220101</v>
      </c>
      <c r="Y71">
        <v>1</v>
      </c>
    </row>
    <row r="72" spans="1:25" x14ac:dyDescent="0.25">
      <c r="A72">
        <v>6</v>
      </c>
      <c r="B72">
        <v>2</v>
      </c>
      <c r="C72" s="1">
        <v>1000000</v>
      </c>
      <c r="D72">
        <v>1</v>
      </c>
      <c r="E72">
        <v>0</v>
      </c>
      <c r="F72">
        <v>1.0249999999999999</v>
      </c>
      <c r="G72">
        <v>5.0250000000000004</v>
      </c>
      <c r="H72">
        <v>1.0249999999999999</v>
      </c>
      <c r="I72">
        <v>0</v>
      </c>
      <c r="J72">
        <v>-6.2340550948198799E-2</v>
      </c>
      <c r="K72">
        <v>0</v>
      </c>
      <c r="L72">
        <v>14.8904747406271</v>
      </c>
      <c r="M72">
        <v>64.198957176980002</v>
      </c>
      <c r="N72" s="1">
        <v>3.8518999165996803E-6</v>
      </c>
      <c r="O72">
        <v>4.1887902047863301</v>
      </c>
      <c r="P72">
        <v>0.50460732848262801</v>
      </c>
      <c r="Q72">
        <v>0.75975778546750095</v>
      </c>
      <c r="R72">
        <v>12.561324609866301</v>
      </c>
      <c r="S72">
        <v>-1.3574141586594601E-3</v>
      </c>
      <c r="T72">
        <v>12.546193890459399</v>
      </c>
      <c r="U72">
        <v>1.6864524879624299E-2</v>
      </c>
      <c r="V72">
        <v>3.7489631189541101E-3</v>
      </c>
      <c r="W72">
        <v>2</v>
      </c>
      <c r="X72">
        <v>147.634711387415</v>
      </c>
      <c r="Y72">
        <v>1</v>
      </c>
    </row>
    <row r="73" spans="1:25" x14ac:dyDescent="0.25">
      <c r="A73">
        <v>6</v>
      </c>
      <c r="B73">
        <v>2</v>
      </c>
      <c r="C73" s="1">
        <v>1000000</v>
      </c>
      <c r="D73">
        <v>1</v>
      </c>
      <c r="E73">
        <v>0</v>
      </c>
      <c r="F73">
        <v>1.05</v>
      </c>
      <c r="G73">
        <v>5.05</v>
      </c>
      <c r="H73">
        <v>1.05</v>
      </c>
      <c r="I73">
        <v>0</v>
      </c>
      <c r="J73">
        <v>-6.4427917604170395E-2</v>
      </c>
      <c r="K73">
        <v>0</v>
      </c>
      <c r="L73">
        <v>14.894886746704399</v>
      </c>
      <c r="M73">
        <v>64.202092174282996</v>
      </c>
      <c r="N73" s="1">
        <v>1.9933667754865098E-5</v>
      </c>
      <c r="O73">
        <v>4.1887902047863399</v>
      </c>
      <c r="P73">
        <v>0.46694612064787899</v>
      </c>
      <c r="Q73">
        <v>0.43416275980950197</v>
      </c>
      <c r="R73">
        <v>12.561324612829299</v>
      </c>
      <c r="S73">
        <v>-2.6702137764562299E-4</v>
      </c>
      <c r="T73">
        <v>12.546193902297199</v>
      </c>
      <c r="U73">
        <v>-9.4388187610660295E-3</v>
      </c>
      <c r="V73">
        <v>5.8937242695498602E-4</v>
      </c>
      <c r="W73">
        <v>2</v>
      </c>
      <c r="X73">
        <v>149.05553272992</v>
      </c>
      <c r="Y73">
        <v>1</v>
      </c>
    </row>
    <row r="74" spans="1:25" x14ac:dyDescent="0.25">
      <c r="A74">
        <v>6</v>
      </c>
      <c r="B74">
        <v>2</v>
      </c>
      <c r="C74" s="1">
        <v>1000000</v>
      </c>
      <c r="D74">
        <v>1</v>
      </c>
      <c r="E74">
        <v>0</v>
      </c>
      <c r="F74">
        <v>1.075</v>
      </c>
      <c r="G74">
        <v>5.0750000000000002</v>
      </c>
      <c r="H74">
        <v>1.075</v>
      </c>
      <c r="I74">
        <v>0</v>
      </c>
      <c r="J74">
        <v>-0.120452604205403</v>
      </c>
      <c r="K74">
        <v>0</v>
      </c>
      <c r="L74">
        <v>14.877613509725901</v>
      </c>
      <c r="M74">
        <v>64.1861097226015</v>
      </c>
      <c r="N74">
        <v>1.54684818979703E-4</v>
      </c>
      <c r="O74">
        <v>4.1887902047863399</v>
      </c>
      <c r="P74">
        <v>0.47217617245400501</v>
      </c>
      <c r="Q74">
        <v>0.63298771969954803</v>
      </c>
      <c r="R74">
        <v>12.5613246157659</v>
      </c>
      <c r="S74">
        <v>-1.78841227901294E-3</v>
      </c>
      <c r="T74">
        <v>12.5461939140294</v>
      </c>
      <c r="U74">
        <v>-2.1225680063354299E-4</v>
      </c>
      <c r="V74">
        <v>2.12938219608422E-4</v>
      </c>
      <c r="W74">
        <v>2</v>
      </c>
      <c r="X74">
        <v>148.866590784989</v>
      </c>
      <c r="Y74">
        <v>1</v>
      </c>
    </row>
    <row r="75" spans="1:25" x14ac:dyDescent="0.25">
      <c r="A75">
        <v>6</v>
      </c>
      <c r="B75">
        <v>2</v>
      </c>
      <c r="C75" s="1">
        <v>1000000</v>
      </c>
      <c r="D75">
        <v>1</v>
      </c>
      <c r="E75">
        <v>0</v>
      </c>
      <c r="F75">
        <v>1.1000000000000001</v>
      </c>
      <c r="G75">
        <v>5.0999999999999996</v>
      </c>
      <c r="H75">
        <v>1.1000000000000001</v>
      </c>
      <c r="I75">
        <v>0</v>
      </c>
      <c r="J75">
        <v>0.99538354192024803</v>
      </c>
      <c r="K75">
        <v>0</v>
      </c>
      <c r="L75">
        <v>14.8889081534768</v>
      </c>
      <c r="M75">
        <v>64.195561979516896</v>
      </c>
      <c r="N75">
        <v>4.2374788665226603E-3</v>
      </c>
      <c r="O75">
        <v>4.1887902047798198</v>
      </c>
      <c r="P75">
        <v>0.46589981080264198</v>
      </c>
      <c r="Q75">
        <v>0.240465682581218</v>
      </c>
      <c r="R75">
        <v>12.561324618256799</v>
      </c>
      <c r="S75">
        <v>-1.60947422207608E-4</v>
      </c>
      <c r="T75">
        <v>12.5461939239811</v>
      </c>
      <c r="U75">
        <v>-6.5527602969976499E-3</v>
      </c>
      <c r="V75">
        <v>5.1030863830040603E-4</v>
      </c>
      <c r="W75">
        <v>2</v>
      </c>
      <c r="X75">
        <v>149.16775898089199</v>
      </c>
      <c r="Y75">
        <v>1</v>
      </c>
    </row>
    <row r="76" spans="1:25" x14ac:dyDescent="0.25">
      <c r="A76">
        <v>6</v>
      </c>
      <c r="B76">
        <v>2</v>
      </c>
      <c r="C76" s="1">
        <v>1000000</v>
      </c>
      <c r="D76">
        <v>1</v>
      </c>
      <c r="E76">
        <v>0</v>
      </c>
      <c r="F76">
        <v>1.125</v>
      </c>
      <c r="G76">
        <v>5.125</v>
      </c>
      <c r="H76">
        <v>1.125</v>
      </c>
      <c r="I76">
        <v>0</v>
      </c>
      <c r="J76">
        <v>-7.37462958253573E-2</v>
      </c>
      <c r="K76">
        <v>0</v>
      </c>
      <c r="L76">
        <v>14.923708388451599</v>
      </c>
      <c r="M76">
        <v>64.230044052672596</v>
      </c>
      <c r="N76" s="1">
        <v>2.7949825381770698E-5</v>
      </c>
      <c r="O76">
        <v>4.1887902047863399</v>
      </c>
      <c r="P76">
        <v>0.43220391182430901</v>
      </c>
      <c r="Q76">
        <v>0.210987035120242</v>
      </c>
      <c r="R76">
        <v>12.5613246212987</v>
      </c>
      <c r="S76">
        <v>-1.93864124439596E-4</v>
      </c>
      <c r="T76">
        <v>12.546193936133999</v>
      </c>
      <c r="U76">
        <v>-2.9788594253341901E-2</v>
      </c>
      <c r="V76" s="1">
        <v>1.30817188369681E-5</v>
      </c>
      <c r="W76">
        <v>2</v>
      </c>
      <c r="X76">
        <v>150.28936315977401</v>
      </c>
      <c r="Y76">
        <v>1</v>
      </c>
    </row>
    <row r="77" spans="1:25" x14ac:dyDescent="0.25">
      <c r="A77">
        <v>6</v>
      </c>
      <c r="B77">
        <v>2</v>
      </c>
      <c r="C77" s="1">
        <v>1000000</v>
      </c>
      <c r="D77">
        <v>1</v>
      </c>
      <c r="E77">
        <v>0</v>
      </c>
      <c r="F77">
        <v>1.1499999999999999</v>
      </c>
      <c r="G77">
        <v>5.15</v>
      </c>
      <c r="H77">
        <v>1.1499999999999999</v>
      </c>
      <c r="I77">
        <v>0</v>
      </c>
      <c r="J77">
        <v>-9.1575235623688897E-2</v>
      </c>
      <c r="K77">
        <v>0</v>
      </c>
      <c r="L77">
        <v>14.9411396507804</v>
      </c>
      <c r="M77">
        <v>64.247217331460902</v>
      </c>
      <c r="N77" s="1">
        <v>2.8807778575068099E-5</v>
      </c>
      <c r="O77">
        <v>4.1887902047863301</v>
      </c>
      <c r="P77">
        <v>0.42567721407179199</v>
      </c>
      <c r="Q77">
        <v>0.26403330243023199</v>
      </c>
      <c r="R77">
        <v>12.5613246219228</v>
      </c>
      <c r="S77">
        <v>-2.5607832313525599E-4</v>
      </c>
      <c r="T77">
        <v>12.5461939386274</v>
      </c>
      <c r="U77">
        <v>-3.1060824782592301E-2</v>
      </c>
      <c r="V77">
        <v>3.5732255037853E-4</v>
      </c>
      <c r="W77">
        <v>2</v>
      </c>
      <c r="X77">
        <v>150.42233110458099</v>
      </c>
      <c r="Y77">
        <v>1</v>
      </c>
    </row>
    <row r="78" spans="1:25" x14ac:dyDescent="0.25">
      <c r="A78">
        <v>6</v>
      </c>
      <c r="B78">
        <v>2</v>
      </c>
      <c r="C78" s="1">
        <v>1000000</v>
      </c>
      <c r="D78">
        <v>1</v>
      </c>
      <c r="E78">
        <v>0</v>
      </c>
      <c r="F78">
        <v>1.175</v>
      </c>
      <c r="G78">
        <v>5.1749999999999998</v>
      </c>
      <c r="H78">
        <v>1.175</v>
      </c>
      <c r="I78">
        <v>0</v>
      </c>
      <c r="J78">
        <v>-0.13774880123594699</v>
      </c>
      <c r="K78">
        <v>0</v>
      </c>
      <c r="L78">
        <v>14.960559633668501</v>
      </c>
      <c r="M78">
        <v>64.266078001178798</v>
      </c>
      <c r="N78">
        <v>4.6056314138346298E-4</v>
      </c>
      <c r="O78">
        <v>4.1887902047863399</v>
      </c>
      <c r="P78">
        <v>0.45647013851918999</v>
      </c>
      <c r="Q78">
        <v>0.23789104508269199</v>
      </c>
      <c r="R78">
        <v>12.561324620138899</v>
      </c>
      <c r="S78" s="1">
        <v>-7.7926635268786305E-5</v>
      </c>
      <c r="T78">
        <v>12.5461939315002</v>
      </c>
      <c r="U78">
        <v>6.40347680473259E-4</v>
      </c>
      <c r="V78">
        <v>3.15997295218445E-4</v>
      </c>
      <c r="W78">
        <v>2</v>
      </c>
      <c r="X78">
        <v>149.047177228614</v>
      </c>
      <c r="Y78">
        <v>1</v>
      </c>
    </row>
    <row r="79" spans="1:25" x14ac:dyDescent="0.25">
      <c r="A79">
        <v>6</v>
      </c>
      <c r="B79">
        <v>2</v>
      </c>
      <c r="C79" s="1">
        <v>1000000</v>
      </c>
      <c r="D79">
        <v>1</v>
      </c>
      <c r="E79">
        <v>0</v>
      </c>
      <c r="F79">
        <v>1.2</v>
      </c>
      <c r="G79">
        <v>5.2</v>
      </c>
      <c r="H79">
        <v>1.2</v>
      </c>
      <c r="I79">
        <v>0</v>
      </c>
      <c r="J79">
        <v>-7.5775157096790294E-2</v>
      </c>
      <c r="K79">
        <v>0</v>
      </c>
      <c r="L79">
        <v>14.9517516304116</v>
      </c>
      <c r="M79">
        <v>64.257045314072698</v>
      </c>
      <c r="N79" s="1">
        <v>1.62607751612042E-5</v>
      </c>
      <c r="O79">
        <v>4.1887902047863204</v>
      </c>
      <c r="P79">
        <v>0.45351888378420402</v>
      </c>
      <c r="Q79">
        <v>0.48192947481937498</v>
      </c>
      <c r="R79">
        <v>12.5613246210297</v>
      </c>
      <c r="S79">
        <v>-2.1018350697968099E-4</v>
      </c>
      <c r="T79">
        <v>12.546193935059</v>
      </c>
      <c r="U79">
        <v>2.5332698664921102E-3</v>
      </c>
      <c r="V79">
        <v>3.9360551922267998E-4</v>
      </c>
      <c r="W79">
        <v>2</v>
      </c>
      <c r="X79">
        <v>149.03756020330599</v>
      </c>
      <c r="Y79">
        <v>1</v>
      </c>
    </row>
    <row r="80" spans="1:25" x14ac:dyDescent="0.25">
      <c r="A80">
        <v>6</v>
      </c>
      <c r="B80">
        <v>2</v>
      </c>
      <c r="C80" s="1">
        <v>1000000</v>
      </c>
      <c r="D80">
        <v>1</v>
      </c>
      <c r="E80">
        <v>0</v>
      </c>
      <c r="F80">
        <v>1.2250000000000001</v>
      </c>
      <c r="G80">
        <v>5.2249999999999996</v>
      </c>
      <c r="H80">
        <v>1.2250000000000001</v>
      </c>
      <c r="I80">
        <v>0</v>
      </c>
      <c r="J80">
        <v>-0.31872904092790499</v>
      </c>
      <c r="K80">
        <v>0</v>
      </c>
      <c r="L80">
        <v>14.949195420003001</v>
      </c>
      <c r="M80">
        <v>64.2549283622876</v>
      </c>
      <c r="N80">
        <v>4.1136234223667397E-4</v>
      </c>
      <c r="O80">
        <v>4.1887902047865397</v>
      </c>
      <c r="P80">
        <v>0.467236712919326</v>
      </c>
      <c r="Q80">
        <v>0.79072105909412305</v>
      </c>
      <c r="R80">
        <v>12.561324623219299</v>
      </c>
      <c r="S80">
        <v>-1.43838632390795E-3</v>
      </c>
      <c r="T80">
        <v>12.5461939438069</v>
      </c>
      <c r="U80">
        <v>2.2861999140283699E-2</v>
      </c>
      <c r="V80">
        <v>3.3275081505288698E-4</v>
      </c>
      <c r="W80">
        <v>2</v>
      </c>
      <c r="X80">
        <v>148.44264546618001</v>
      </c>
      <c r="Y80">
        <v>1</v>
      </c>
    </row>
    <row r="81" spans="1:25" x14ac:dyDescent="0.25">
      <c r="A81">
        <v>6</v>
      </c>
      <c r="B81">
        <v>2</v>
      </c>
      <c r="C81" s="1">
        <v>1000000</v>
      </c>
      <c r="D81">
        <v>1</v>
      </c>
      <c r="E81">
        <v>0</v>
      </c>
      <c r="F81">
        <v>1.25</v>
      </c>
      <c r="G81">
        <v>5.25</v>
      </c>
      <c r="H81">
        <v>1.25</v>
      </c>
      <c r="I81">
        <v>0</v>
      </c>
      <c r="J81">
        <v>-8.1366973400766998E-2</v>
      </c>
      <c r="K81">
        <v>0</v>
      </c>
      <c r="L81">
        <v>14.9800057542187</v>
      </c>
      <c r="M81">
        <v>64.284281115055904</v>
      </c>
      <c r="N81" s="1">
        <v>1.2014004158548699E-5</v>
      </c>
      <c r="O81">
        <v>4.1887902047863497</v>
      </c>
      <c r="P81">
        <v>0.42746378241050997</v>
      </c>
      <c r="Q81">
        <v>0.70586030230422703</v>
      </c>
      <c r="R81">
        <v>12.5613246248097</v>
      </c>
      <c r="S81">
        <v>-6.6556750486208599E-4</v>
      </c>
      <c r="T81">
        <v>12.546193950160999</v>
      </c>
      <c r="U81">
        <v>-2.0714395841931799E-2</v>
      </c>
      <c r="V81">
        <v>5.7562394124864298E-4</v>
      </c>
      <c r="W81">
        <v>2</v>
      </c>
      <c r="X81">
        <v>150.10062105205401</v>
      </c>
      <c r="Y81">
        <v>1</v>
      </c>
    </row>
    <row r="82" spans="1:25" x14ac:dyDescent="0.25">
      <c r="A82">
        <v>6</v>
      </c>
      <c r="B82">
        <v>2</v>
      </c>
      <c r="C82" s="1">
        <v>1000000</v>
      </c>
      <c r="D82">
        <v>1</v>
      </c>
      <c r="E82">
        <v>0</v>
      </c>
      <c r="F82">
        <v>1.2749999999999999</v>
      </c>
      <c r="G82">
        <v>5.2750000000000004</v>
      </c>
      <c r="H82">
        <v>1.2749999999999999</v>
      </c>
      <c r="I82">
        <v>0</v>
      </c>
      <c r="J82">
        <v>-0.12006820180116901</v>
      </c>
      <c r="K82">
        <v>0</v>
      </c>
      <c r="L82">
        <v>14.9207925717204</v>
      </c>
      <c r="M82">
        <v>64.340751858593194</v>
      </c>
      <c r="N82">
        <v>1.14071715990637E-4</v>
      </c>
      <c r="O82">
        <v>4.1887902047863603</v>
      </c>
      <c r="P82">
        <v>0.386866672979645</v>
      </c>
      <c r="Q82">
        <v>0.20445220559680399</v>
      </c>
      <c r="R82">
        <v>12.5613246259571</v>
      </c>
      <c r="S82" s="1">
        <v>-7.8153681504465107E-5</v>
      </c>
      <c r="T82">
        <v>12.5461939547451</v>
      </c>
      <c r="U82">
        <v>-5.09931360238026E-2</v>
      </c>
      <c r="V82">
        <v>3.7147524532516097E-4</v>
      </c>
      <c r="W82">
        <v>2</v>
      </c>
      <c r="X82">
        <v>151.78254352805001</v>
      </c>
      <c r="Y82">
        <v>1</v>
      </c>
    </row>
    <row r="83" spans="1:25" x14ac:dyDescent="0.25">
      <c r="A83">
        <v>6</v>
      </c>
      <c r="B83">
        <v>2</v>
      </c>
      <c r="C83" s="1">
        <v>1000000</v>
      </c>
      <c r="D83">
        <v>1</v>
      </c>
      <c r="E83">
        <v>0</v>
      </c>
      <c r="F83">
        <v>1.3</v>
      </c>
      <c r="G83">
        <v>5.3</v>
      </c>
      <c r="H83">
        <v>1.3</v>
      </c>
      <c r="I83">
        <v>0</v>
      </c>
      <c r="J83">
        <v>-9.1230160141980696E-2</v>
      </c>
      <c r="K83">
        <v>0</v>
      </c>
      <c r="L83">
        <v>14.840292277318399</v>
      </c>
      <c r="M83">
        <v>64.303184568075693</v>
      </c>
      <c r="N83" s="1">
        <v>1.83538739233482E-5</v>
      </c>
      <c r="O83">
        <v>4.1887902047863701</v>
      </c>
      <c r="P83">
        <v>0.42153776181665398</v>
      </c>
      <c r="Q83">
        <v>0.26195188795691099</v>
      </c>
      <c r="R83">
        <v>12.561324625728499</v>
      </c>
      <c r="S83">
        <v>-4.97145310412281E-4</v>
      </c>
      <c r="T83">
        <v>12.546193953832001</v>
      </c>
      <c r="U83">
        <v>-3.5101119572673702E-3</v>
      </c>
      <c r="V83" s="1">
        <v>7.8049161757546903E-5</v>
      </c>
      <c r="W83">
        <v>2</v>
      </c>
      <c r="X83">
        <v>150.278201619675</v>
      </c>
      <c r="Y83">
        <v>1</v>
      </c>
    </row>
    <row r="84" spans="1:25" x14ac:dyDescent="0.25">
      <c r="A84">
        <v>30</v>
      </c>
      <c r="B84">
        <v>2</v>
      </c>
      <c r="C84" s="1">
        <v>1000000</v>
      </c>
      <c r="D84">
        <v>1</v>
      </c>
      <c r="E84">
        <v>0</v>
      </c>
      <c r="F84">
        <v>0.3</v>
      </c>
      <c r="G84">
        <v>4.3</v>
      </c>
      <c r="H84">
        <v>0.3</v>
      </c>
      <c r="I84">
        <v>0</v>
      </c>
      <c r="J84">
        <v>13.024841052533199</v>
      </c>
      <c r="K84">
        <v>13.109751313761199</v>
      </c>
      <c r="L84">
        <v>17.748251235085199</v>
      </c>
      <c r="M84">
        <v>55.478917088681399</v>
      </c>
      <c r="N84" s="1">
        <v>7.8081613978758406E-5</v>
      </c>
      <c r="O84">
        <v>4.1887902047863399</v>
      </c>
      <c r="P84">
        <v>6.6468962427394302</v>
      </c>
      <c r="Q84">
        <v>12.969704595936401</v>
      </c>
      <c r="R84">
        <v>12.5613204488752</v>
      </c>
      <c r="S84">
        <v>13.368021086598199</v>
      </c>
      <c r="T84">
        <v>12.5461772664704</v>
      </c>
      <c r="U84">
        <v>2.2411703526656501E-2</v>
      </c>
      <c r="V84">
        <v>2</v>
      </c>
      <c r="W84">
        <v>2.1462300000000001</v>
      </c>
      <c r="X84">
        <v>17.979619457391401</v>
      </c>
      <c r="Y84">
        <v>1</v>
      </c>
    </row>
    <row r="85" spans="1:25" x14ac:dyDescent="0.25">
      <c r="A85">
        <v>30</v>
      </c>
      <c r="B85">
        <v>2</v>
      </c>
      <c r="C85" s="1">
        <v>1000000</v>
      </c>
      <c r="D85">
        <v>1</v>
      </c>
      <c r="E85">
        <v>0</v>
      </c>
      <c r="F85">
        <v>0.32500000000000001</v>
      </c>
      <c r="G85">
        <v>4.3250000000000002</v>
      </c>
      <c r="H85">
        <v>0.32500000000000001</v>
      </c>
      <c r="I85">
        <v>0</v>
      </c>
      <c r="J85">
        <v>8.7249193670797993</v>
      </c>
      <c r="K85">
        <v>8.7651957172927606</v>
      </c>
      <c r="L85">
        <v>16.0101673245772</v>
      </c>
      <c r="M85">
        <v>54.991055654512202</v>
      </c>
      <c r="N85" s="1">
        <v>1.26632243499919E-5</v>
      </c>
      <c r="O85">
        <v>4.1887902047863097</v>
      </c>
      <c r="P85">
        <v>5.1321049241632899</v>
      </c>
      <c r="Q85">
        <v>12.2478397078775</v>
      </c>
      <c r="R85">
        <v>12.5613230779328</v>
      </c>
      <c r="S85">
        <v>11.9243993845982</v>
      </c>
      <c r="T85">
        <v>12.546187770143099</v>
      </c>
      <c r="U85">
        <v>0.13491316999882</v>
      </c>
      <c r="V85">
        <v>1.9448858610257</v>
      </c>
      <c r="W85">
        <v>2.0529600000000001</v>
      </c>
      <c r="X85">
        <v>56.426597156657998</v>
      </c>
      <c r="Y85">
        <v>1</v>
      </c>
    </row>
    <row r="86" spans="1:25" x14ac:dyDescent="0.25">
      <c r="A86">
        <v>30</v>
      </c>
      <c r="B86">
        <v>2</v>
      </c>
      <c r="C86" s="1">
        <v>1000000</v>
      </c>
      <c r="D86">
        <v>1</v>
      </c>
      <c r="E86">
        <v>0</v>
      </c>
      <c r="F86">
        <v>0.35</v>
      </c>
      <c r="G86">
        <v>4.3499999999999996</v>
      </c>
      <c r="H86">
        <v>0.35</v>
      </c>
      <c r="I86">
        <v>0</v>
      </c>
      <c r="J86">
        <v>4.2967415716674697</v>
      </c>
      <c r="K86">
        <v>4.3016191529734096</v>
      </c>
      <c r="L86">
        <v>15.0044920511146</v>
      </c>
      <c r="M86">
        <v>55.309439302654198</v>
      </c>
      <c r="N86">
        <v>0.10867060266775599</v>
      </c>
      <c r="O86">
        <v>4.1887902037348397</v>
      </c>
      <c r="P86">
        <v>3.14993909814411</v>
      </c>
      <c r="Q86">
        <v>11.434715947983699</v>
      </c>
      <c r="R86">
        <v>12.5613239161537</v>
      </c>
      <c r="S86">
        <v>10.395511536184801</v>
      </c>
      <c r="T86">
        <v>12.5461911189561</v>
      </c>
      <c r="U86">
        <v>4.84132881662101E-2</v>
      </c>
      <c r="V86">
        <v>1.81853548010855</v>
      </c>
      <c r="W86">
        <v>2.0006699999999999</v>
      </c>
      <c r="X86">
        <v>89.428757168048307</v>
      </c>
      <c r="Y86">
        <v>1</v>
      </c>
    </row>
    <row r="87" spans="1:25" x14ac:dyDescent="0.25">
      <c r="A87">
        <v>30</v>
      </c>
      <c r="B87">
        <v>2</v>
      </c>
      <c r="C87" s="1">
        <v>1000000</v>
      </c>
      <c r="D87">
        <v>1</v>
      </c>
      <c r="E87">
        <v>0</v>
      </c>
      <c r="F87">
        <v>0.375</v>
      </c>
      <c r="G87">
        <v>4.375</v>
      </c>
      <c r="H87">
        <v>0.375</v>
      </c>
      <c r="I87">
        <v>0</v>
      </c>
      <c r="J87">
        <v>1.81652704438938</v>
      </c>
      <c r="K87">
        <v>1.8197939159241601</v>
      </c>
      <c r="L87">
        <v>14.548167747696301</v>
      </c>
      <c r="M87">
        <v>56.041047289006698</v>
      </c>
      <c r="N87">
        <v>0.16532051294783301</v>
      </c>
      <c r="O87">
        <v>4.1887902044491501</v>
      </c>
      <c r="P87">
        <v>1.8574024246465699</v>
      </c>
      <c r="Q87">
        <v>10.6534611464329</v>
      </c>
      <c r="R87">
        <v>12.5613236368134</v>
      </c>
      <c r="S87">
        <v>9.02380267487551</v>
      </c>
      <c r="T87">
        <v>12.546190002945901</v>
      </c>
      <c r="U87">
        <v>5.3260639339969502E-2</v>
      </c>
      <c r="V87">
        <v>1.6953574820841499</v>
      </c>
      <c r="W87">
        <v>2</v>
      </c>
      <c r="X87">
        <v>110.678978986403</v>
      </c>
      <c r="Y87">
        <v>1</v>
      </c>
    </row>
    <row r="88" spans="1:25" x14ac:dyDescent="0.25">
      <c r="A88">
        <v>30</v>
      </c>
      <c r="B88">
        <v>2</v>
      </c>
      <c r="C88" s="1">
        <v>1000000</v>
      </c>
      <c r="D88">
        <v>1</v>
      </c>
      <c r="E88">
        <v>0</v>
      </c>
      <c r="F88">
        <v>0.4</v>
      </c>
      <c r="G88">
        <v>4.4000000000000004</v>
      </c>
      <c r="H88">
        <v>0.4</v>
      </c>
      <c r="I88">
        <v>0</v>
      </c>
      <c r="J88">
        <v>0.68323534159056198</v>
      </c>
      <c r="K88">
        <v>0.68415708565192901</v>
      </c>
      <c r="L88">
        <v>14.363322869234899</v>
      </c>
      <c r="M88">
        <v>56.875850578739197</v>
      </c>
      <c r="N88">
        <v>0.14832645018693899</v>
      </c>
      <c r="O88">
        <v>4.1887902045614798</v>
      </c>
      <c r="P88">
        <v>1.1808883841603399</v>
      </c>
      <c r="Q88">
        <v>9.9340928566884497</v>
      </c>
      <c r="R88">
        <v>12.5613232207837</v>
      </c>
      <c r="S88">
        <v>7.8464080949559998</v>
      </c>
      <c r="T88">
        <v>12.546188340809801</v>
      </c>
      <c r="U88">
        <v>5.5616322730159901E-2</v>
      </c>
      <c r="V88">
        <v>1.5809379172940401</v>
      </c>
      <c r="W88">
        <v>2</v>
      </c>
      <c r="X88">
        <v>124.385084852888</v>
      </c>
      <c r="Y88">
        <v>1</v>
      </c>
    </row>
    <row r="89" spans="1:25" x14ac:dyDescent="0.25">
      <c r="A89">
        <v>30</v>
      </c>
      <c r="B89">
        <v>2</v>
      </c>
      <c r="C89" s="1">
        <v>1000000</v>
      </c>
      <c r="D89">
        <v>1</v>
      </c>
      <c r="E89">
        <v>0</v>
      </c>
      <c r="F89">
        <v>0.42499999999999999</v>
      </c>
      <c r="G89">
        <v>4.4249999999999998</v>
      </c>
      <c r="H89">
        <v>0.42499999999999999</v>
      </c>
      <c r="I89">
        <v>0</v>
      </c>
      <c r="J89">
        <v>0.158927257240913</v>
      </c>
      <c r="K89">
        <v>0.15908476071455799</v>
      </c>
      <c r="L89">
        <v>14.3023020025362</v>
      </c>
      <c r="M89">
        <v>57.682059312513701</v>
      </c>
      <c r="N89">
        <v>0.19174247487004301</v>
      </c>
      <c r="O89">
        <v>4.1887902047648096</v>
      </c>
      <c r="P89">
        <v>0.82378341949571299</v>
      </c>
      <c r="Q89">
        <v>9.2785036734320308</v>
      </c>
      <c r="R89">
        <v>12.5613230672061</v>
      </c>
      <c r="S89">
        <v>6.8450162195371203</v>
      </c>
      <c r="T89">
        <v>12.546187727205099</v>
      </c>
      <c r="U89">
        <v>6.3536816471675805E-2</v>
      </c>
      <c r="V89">
        <v>1.47647723683208</v>
      </c>
      <c r="W89">
        <v>2</v>
      </c>
      <c r="X89">
        <v>132.67220861768701</v>
      </c>
      <c r="Y89">
        <v>1</v>
      </c>
    </row>
    <row r="90" spans="1:25" x14ac:dyDescent="0.25">
      <c r="A90">
        <v>30</v>
      </c>
      <c r="B90">
        <v>2</v>
      </c>
      <c r="C90" s="1">
        <v>1000000</v>
      </c>
      <c r="D90">
        <v>1</v>
      </c>
      <c r="E90">
        <v>0</v>
      </c>
      <c r="F90">
        <v>0.45</v>
      </c>
      <c r="G90">
        <v>4.45</v>
      </c>
      <c r="H90">
        <v>0.45</v>
      </c>
      <c r="I90">
        <v>0</v>
      </c>
      <c r="J90">
        <v>-9.4562115446033199E-2</v>
      </c>
      <c r="K90">
        <v>-9.4597625544822303E-2</v>
      </c>
      <c r="L90">
        <v>14.299666177977899</v>
      </c>
      <c r="M90">
        <v>58.428858956426502</v>
      </c>
      <c r="N90">
        <v>0.29074654706522701</v>
      </c>
      <c r="O90">
        <v>4.1887902047904104</v>
      </c>
      <c r="P90">
        <v>0.62574770328622897</v>
      </c>
      <c r="Q90">
        <v>8.6722492648416107</v>
      </c>
      <c r="R90">
        <v>12.5613245522781</v>
      </c>
      <c r="S90">
        <v>5.9796467519625196</v>
      </c>
      <c r="T90">
        <v>12.546193660383899</v>
      </c>
      <c r="U90">
        <v>7.0832631904104701E-2</v>
      </c>
      <c r="V90">
        <v>1.3801075117277699</v>
      </c>
      <c r="W90">
        <v>2</v>
      </c>
      <c r="X90">
        <v>138.25344768479499</v>
      </c>
      <c r="Y90">
        <v>1</v>
      </c>
    </row>
    <row r="91" spans="1:25" x14ac:dyDescent="0.25">
      <c r="A91">
        <v>30</v>
      </c>
      <c r="B91">
        <v>2</v>
      </c>
      <c r="C91" s="1">
        <v>1000000</v>
      </c>
      <c r="D91">
        <v>1</v>
      </c>
      <c r="E91">
        <v>0</v>
      </c>
      <c r="F91">
        <v>0.47499999999999998</v>
      </c>
      <c r="G91">
        <v>4.4749999999999996</v>
      </c>
      <c r="H91">
        <v>0.47499999999999998</v>
      </c>
      <c r="I91">
        <v>0</v>
      </c>
      <c r="J91">
        <v>-0.22079520137023001</v>
      </c>
      <c r="K91">
        <v>-0.22074135837696299</v>
      </c>
      <c r="L91">
        <v>14.3256586286964</v>
      </c>
      <c r="M91">
        <v>59.106539132757398</v>
      </c>
      <c r="N91">
        <v>0.267129463243996</v>
      </c>
      <c r="O91">
        <v>4.1887902047333903</v>
      </c>
      <c r="P91">
        <v>0.51024088415103697</v>
      </c>
      <c r="Q91">
        <v>8.1081177420387096</v>
      </c>
      <c r="R91">
        <v>12.561324461107599</v>
      </c>
      <c r="S91">
        <v>5.2271389734203799</v>
      </c>
      <c r="T91">
        <v>12.546193296141</v>
      </c>
      <c r="U91">
        <v>7.6352450632162505E-2</v>
      </c>
      <c r="V91">
        <v>1.29024142978145</v>
      </c>
      <c r="W91">
        <v>2</v>
      </c>
      <c r="X91">
        <v>142.03606020649499</v>
      </c>
      <c r="Y91">
        <v>1</v>
      </c>
    </row>
    <row r="92" spans="1:25" x14ac:dyDescent="0.25">
      <c r="A92">
        <v>30</v>
      </c>
      <c r="B92">
        <v>2</v>
      </c>
      <c r="C92" s="1">
        <v>1000000</v>
      </c>
      <c r="D92">
        <v>1</v>
      </c>
      <c r="E92">
        <v>0</v>
      </c>
      <c r="F92">
        <v>0.5</v>
      </c>
      <c r="G92">
        <v>4.5</v>
      </c>
      <c r="H92">
        <v>0.5</v>
      </c>
      <c r="I92">
        <v>0</v>
      </c>
      <c r="J92">
        <v>-0.283029292509414</v>
      </c>
      <c r="K92">
        <v>-0.28274537923614801</v>
      </c>
      <c r="L92">
        <v>14.3658675990477</v>
      </c>
      <c r="M92">
        <v>59.716884871664199</v>
      </c>
      <c r="N92">
        <v>0.199337541472388</v>
      </c>
      <c r="O92">
        <v>4.1887902047852199</v>
      </c>
      <c r="P92">
        <v>0.440724347493963</v>
      </c>
      <c r="Q92">
        <v>7.5802442077050003</v>
      </c>
      <c r="R92">
        <v>12.561324577258199</v>
      </c>
      <c r="S92">
        <v>4.5687979409637602</v>
      </c>
      <c r="T92">
        <v>12.5461937601839</v>
      </c>
      <c r="U92">
        <v>8.4770434371363002E-2</v>
      </c>
      <c r="V92">
        <v>1.2065067361408199</v>
      </c>
      <c r="W92">
        <v>2</v>
      </c>
      <c r="X92">
        <v>144.72749281292599</v>
      </c>
      <c r="Y92">
        <v>1</v>
      </c>
    </row>
    <row r="93" spans="1:25" x14ac:dyDescent="0.25">
      <c r="A93">
        <v>30</v>
      </c>
      <c r="B93">
        <v>2</v>
      </c>
      <c r="C93" s="1">
        <v>1000000</v>
      </c>
      <c r="D93">
        <v>1</v>
      </c>
      <c r="E93">
        <v>0</v>
      </c>
      <c r="F93">
        <v>0.52500000000000002</v>
      </c>
      <c r="G93">
        <v>4.5250000000000004</v>
      </c>
      <c r="H93">
        <v>0.52500000000000002</v>
      </c>
      <c r="I93">
        <v>0</v>
      </c>
      <c r="J93">
        <v>-0.31036763011964602</v>
      </c>
      <c r="K93">
        <v>-0.31036705235356299</v>
      </c>
      <c r="L93">
        <v>14.4127703345073</v>
      </c>
      <c r="M93">
        <v>60.270632153560797</v>
      </c>
      <c r="N93">
        <v>0.37884776896376099</v>
      </c>
      <c r="O93">
        <v>4.1887902047823804</v>
      </c>
      <c r="P93">
        <v>0.39888371598740902</v>
      </c>
      <c r="Q93">
        <v>7.0781269841851904</v>
      </c>
      <c r="R93">
        <v>12.5613244924981</v>
      </c>
      <c r="S93">
        <v>3.98354138117337</v>
      </c>
      <c r="T93">
        <v>12.5461934215521</v>
      </c>
      <c r="U93">
        <v>8.9601880723723201E-2</v>
      </c>
      <c r="V93">
        <v>1.1264719875886</v>
      </c>
      <c r="W93">
        <v>2</v>
      </c>
      <c r="X93">
        <v>146.64000002978599</v>
      </c>
      <c r="Y93">
        <v>1</v>
      </c>
    </row>
    <row r="94" spans="1:25" x14ac:dyDescent="0.25">
      <c r="A94">
        <v>30</v>
      </c>
      <c r="B94">
        <v>2</v>
      </c>
      <c r="C94" s="1">
        <v>1000000</v>
      </c>
      <c r="D94">
        <v>1</v>
      </c>
      <c r="E94">
        <v>0</v>
      </c>
      <c r="F94">
        <v>0.55000000000000004</v>
      </c>
      <c r="G94">
        <v>4.55</v>
      </c>
      <c r="H94">
        <v>0.55000000000000004</v>
      </c>
      <c r="I94">
        <v>0</v>
      </c>
      <c r="J94">
        <v>-0.31889999348030501</v>
      </c>
      <c r="K94">
        <v>-0.31877997140755099</v>
      </c>
      <c r="L94">
        <v>14.462434505069099</v>
      </c>
      <c r="M94">
        <v>60.773812396534197</v>
      </c>
      <c r="N94">
        <v>0.29329355848531902</v>
      </c>
      <c r="O94">
        <v>4.1887902047851497</v>
      </c>
      <c r="P94">
        <v>0.37438743459438401</v>
      </c>
      <c r="Q94">
        <v>6.5965644721137497</v>
      </c>
      <c r="R94">
        <v>12.5613240997525</v>
      </c>
      <c r="S94">
        <v>3.4598613195691099</v>
      </c>
      <c r="T94">
        <v>12.546191852468599</v>
      </c>
      <c r="U94">
        <v>9.3379864082350605E-2</v>
      </c>
      <c r="V94">
        <v>1.0498321123796299</v>
      </c>
      <c r="W94">
        <v>2</v>
      </c>
      <c r="X94">
        <v>148.00334891359699</v>
      </c>
      <c r="Y94">
        <v>1</v>
      </c>
    </row>
    <row r="95" spans="1:25" x14ac:dyDescent="0.25">
      <c r="A95">
        <v>30</v>
      </c>
      <c r="B95">
        <v>2</v>
      </c>
      <c r="C95" s="1">
        <v>1000000</v>
      </c>
      <c r="D95">
        <v>1</v>
      </c>
      <c r="E95">
        <v>0</v>
      </c>
      <c r="F95">
        <v>0.57499999999999996</v>
      </c>
      <c r="G95">
        <v>4.5750000000000002</v>
      </c>
      <c r="H95">
        <v>0.57499999999999996</v>
      </c>
      <c r="I95">
        <v>0</v>
      </c>
      <c r="J95">
        <v>-0.31613570555481202</v>
      </c>
      <c r="K95">
        <v>-0.31606937961850801</v>
      </c>
      <c r="L95">
        <v>14.512419577117299</v>
      </c>
      <c r="M95">
        <v>61.231337298674397</v>
      </c>
      <c r="N95">
        <v>0.33484641509365598</v>
      </c>
      <c r="O95">
        <v>4.18879020478537</v>
      </c>
      <c r="P95">
        <v>0.361248129569613</v>
      </c>
      <c r="Q95">
        <v>6.1315811052960099</v>
      </c>
      <c r="R95">
        <v>12.561324036615799</v>
      </c>
      <c r="S95">
        <v>2.98926965204268</v>
      </c>
      <c r="T95">
        <v>12.546191600222301</v>
      </c>
      <c r="U95">
        <v>9.7760300807942596E-2</v>
      </c>
      <c r="V95">
        <v>0.97565925115103802</v>
      </c>
      <c r="W95">
        <v>2</v>
      </c>
      <c r="X95">
        <v>148.980614089049</v>
      </c>
      <c r="Y95">
        <v>1</v>
      </c>
    </row>
    <row r="96" spans="1:25" x14ac:dyDescent="0.25">
      <c r="A96">
        <v>30</v>
      </c>
      <c r="B96">
        <v>2</v>
      </c>
      <c r="C96" s="1">
        <v>1000000</v>
      </c>
      <c r="D96">
        <v>1</v>
      </c>
      <c r="E96">
        <v>0</v>
      </c>
      <c r="F96">
        <v>0.6</v>
      </c>
      <c r="G96">
        <v>4.5999999999999996</v>
      </c>
      <c r="H96">
        <v>0.6</v>
      </c>
      <c r="I96">
        <v>0</v>
      </c>
      <c r="J96">
        <v>-0.30664630155778799</v>
      </c>
      <c r="K96">
        <v>-0.30655977291777198</v>
      </c>
      <c r="L96">
        <v>14.561381507375099</v>
      </c>
      <c r="M96">
        <v>61.649322081435798</v>
      </c>
      <c r="N96">
        <v>0.37113190009695601</v>
      </c>
      <c r="O96">
        <v>4.1887902048004202</v>
      </c>
      <c r="P96">
        <v>0.35609446845617698</v>
      </c>
      <c r="Q96">
        <v>5.67779149677565</v>
      </c>
      <c r="R96">
        <v>12.5613232116521</v>
      </c>
      <c r="S96">
        <v>2.5631509845564899</v>
      </c>
      <c r="T96">
        <v>12.546188304346501</v>
      </c>
      <c r="U96">
        <v>0.101212206742935</v>
      </c>
      <c r="V96">
        <v>0.903444679679546</v>
      </c>
      <c r="W96">
        <v>2</v>
      </c>
      <c r="X96">
        <v>149.65789264991099</v>
      </c>
      <c r="Y96">
        <v>1</v>
      </c>
    </row>
    <row r="97" spans="1:25" x14ac:dyDescent="0.25">
      <c r="A97">
        <v>30</v>
      </c>
      <c r="B97">
        <v>2</v>
      </c>
      <c r="C97" s="1">
        <v>1000000</v>
      </c>
      <c r="D97">
        <v>1</v>
      </c>
      <c r="E97">
        <v>0</v>
      </c>
      <c r="F97">
        <v>0.625</v>
      </c>
      <c r="G97">
        <v>4.625</v>
      </c>
      <c r="H97">
        <v>0.625</v>
      </c>
      <c r="I97">
        <v>0</v>
      </c>
      <c r="J97">
        <v>-0.29264594088690099</v>
      </c>
      <c r="K97">
        <v>-0.29238256378262301</v>
      </c>
      <c r="L97">
        <v>14.6084902313158</v>
      </c>
      <c r="M97">
        <v>62.036489430475598</v>
      </c>
      <c r="N97">
        <v>0.32574536162256501</v>
      </c>
      <c r="O97">
        <v>4.1887902047835297</v>
      </c>
      <c r="P97">
        <v>0.35720999704279</v>
      </c>
      <c r="Q97">
        <v>5.2248215784585197</v>
      </c>
      <c r="R97">
        <v>12.561322919837099</v>
      </c>
      <c r="S97">
        <v>2.1704794569394799</v>
      </c>
      <c r="T97">
        <v>12.546187138485401</v>
      </c>
      <c r="U97">
        <v>0.10448312150776599</v>
      </c>
      <c r="V97">
        <v>0.83117184779436404</v>
      </c>
      <c r="W97">
        <v>2</v>
      </c>
      <c r="X97">
        <v>150.06961683373299</v>
      </c>
      <c r="Y97">
        <v>1</v>
      </c>
    </row>
    <row r="98" spans="1:25" x14ac:dyDescent="0.25">
      <c r="A98">
        <v>30</v>
      </c>
      <c r="B98">
        <v>2</v>
      </c>
      <c r="C98" s="1">
        <v>1000000</v>
      </c>
      <c r="D98">
        <v>1</v>
      </c>
      <c r="E98">
        <v>0</v>
      </c>
      <c r="F98">
        <v>0.65</v>
      </c>
      <c r="G98">
        <v>4.6500000000000004</v>
      </c>
      <c r="H98">
        <v>0.65</v>
      </c>
      <c r="I98">
        <v>0</v>
      </c>
      <c r="J98">
        <v>-0.27595429266428601</v>
      </c>
      <c r="K98">
        <v>-0.27556823462097901</v>
      </c>
      <c r="L98">
        <v>14.653160765777599</v>
      </c>
      <c r="M98">
        <v>62.388170564064303</v>
      </c>
      <c r="N98">
        <v>0.46783451614999</v>
      </c>
      <c r="O98">
        <v>4.1887902047868302</v>
      </c>
      <c r="P98">
        <v>0.36240462372089499</v>
      </c>
      <c r="Q98">
        <v>4.7791213859282102</v>
      </c>
      <c r="R98">
        <v>12.5613215886864</v>
      </c>
      <c r="S98">
        <v>1.81596582105144</v>
      </c>
      <c r="T98">
        <v>12.546181820296299</v>
      </c>
      <c r="U98">
        <v>0.106276328863701</v>
      </c>
      <c r="V98">
        <v>0.76000017314811197</v>
      </c>
      <c r="W98">
        <v>2</v>
      </c>
      <c r="X98">
        <v>150.321134374341</v>
      </c>
      <c r="Y98">
        <v>1</v>
      </c>
    </row>
    <row r="99" spans="1:25" x14ac:dyDescent="0.25">
      <c r="A99">
        <v>30</v>
      </c>
      <c r="B99">
        <v>2</v>
      </c>
      <c r="C99" s="1">
        <v>1000000</v>
      </c>
      <c r="D99">
        <v>1</v>
      </c>
      <c r="E99">
        <v>0</v>
      </c>
      <c r="F99">
        <v>0.67500000000000004</v>
      </c>
      <c r="G99">
        <v>4.6749999999999998</v>
      </c>
      <c r="H99">
        <v>0.67500000000000004</v>
      </c>
      <c r="I99">
        <v>0</v>
      </c>
      <c r="J99">
        <v>-0.25679781054561002</v>
      </c>
      <c r="K99">
        <v>-0.25641871795146198</v>
      </c>
      <c r="L99">
        <v>14.6950128419838</v>
      </c>
      <c r="M99">
        <v>62.712305536991799</v>
      </c>
      <c r="N99">
        <v>0.421237493664257</v>
      </c>
      <c r="O99">
        <v>4.1887902047866703</v>
      </c>
      <c r="P99">
        <v>0.37139457524074299</v>
      </c>
      <c r="Q99">
        <v>4.3290133389369396</v>
      </c>
      <c r="R99">
        <v>12.5613213967495</v>
      </c>
      <c r="S99">
        <v>1.4900065462488401</v>
      </c>
      <c r="T99">
        <v>12.5461810534599</v>
      </c>
      <c r="U99">
        <v>0.10795533839179</v>
      </c>
      <c r="V99">
        <v>0.68862973835058705</v>
      </c>
      <c r="W99">
        <v>2</v>
      </c>
      <c r="X99">
        <v>150.40009593226401</v>
      </c>
      <c r="Y99">
        <v>1</v>
      </c>
    </row>
    <row r="100" spans="1:25" x14ac:dyDescent="0.25">
      <c r="A100">
        <v>30</v>
      </c>
      <c r="B100">
        <v>2</v>
      </c>
      <c r="C100" s="1">
        <v>1000000</v>
      </c>
      <c r="D100">
        <v>1</v>
      </c>
      <c r="E100">
        <v>0</v>
      </c>
      <c r="F100">
        <v>0.7</v>
      </c>
      <c r="G100">
        <v>4.7</v>
      </c>
      <c r="H100">
        <v>0.7</v>
      </c>
      <c r="I100">
        <v>0</v>
      </c>
      <c r="J100">
        <v>-0.235148278911465</v>
      </c>
      <c r="K100">
        <v>-0.23482456495209</v>
      </c>
      <c r="L100">
        <v>14.733675553270899</v>
      </c>
      <c r="M100">
        <v>63.014212379569898</v>
      </c>
      <c r="N100">
        <v>0.45335969854283598</v>
      </c>
      <c r="O100">
        <v>4.1887902047863497</v>
      </c>
      <c r="P100">
        <v>0.384238169771566</v>
      </c>
      <c r="Q100">
        <v>3.8623274867105302</v>
      </c>
      <c r="R100">
        <v>12.5613199550847</v>
      </c>
      <c r="S100">
        <v>1.18602867423188</v>
      </c>
      <c r="T100">
        <v>12.546175293745099</v>
      </c>
      <c r="U100">
        <v>5.9737951425294797E-2</v>
      </c>
      <c r="V100">
        <v>0.614251631524248</v>
      </c>
      <c r="W100">
        <v>2</v>
      </c>
      <c r="X100">
        <v>150.32519616961801</v>
      </c>
      <c r="Y100">
        <v>1</v>
      </c>
    </row>
    <row r="101" spans="1:25" x14ac:dyDescent="0.25">
      <c r="A101">
        <v>30</v>
      </c>
      <c r="B101">
        <v>2</v>
      </c>
      <c r="C101" s="1">
        <v>1000000</v>
      </c>
      <c r="D101">
        <v>1</v>
      </c>
      <c r="E101">
        <v>0</v>
      </c>
      <c r="F101">
        <v>0.72499999999999998</v>
      </c>
      <c r="G101">
        <v>4.7249999999999996</v>
      </c>
      <c r="H101">
        <v>0.72499999999999998</v>
      </c>
      <c r="I101">
        <v>0</v>
      </c>
      <c r="J101">
        <v>-0.21123694359459699</v>
      </c>
      <c r="K101">
        <v>-0.210752303533601</v>
      </c>
      <c r="L101">
        <v>14.7687206205708</v>
      </c>
      <c r="M101">
        <v>63.293206152006597</v>
      </c>
      <c r="N101">
        <v>0.414211303520298</v>
      </c>
      <c r="O101">
        <v>4.1887902048293499</v>
      </c>
      <c r="P101">
        <v>0.40043657891130402</v>
      </c>
      <c r="Q101">
        <v>3.3726449632691202</v>
      </c>
      <c r="R101">
        <v>12.561318744023099</v>
      </c>
      <c r="S101">
        <v>0.904329733318878</v>
      </c>
      <c r="T101">
        <v>12.5461704553224</v>
      </c>
      <c r="U101">
        <v>5.83298322069997E-2</v>
      </c>
      <c r="V101">
        <v>0.53626651438309902</v>
      </c>
      <c r="W101">
        <v>2</v>
      </c>
      <c r="X101">
        <v>150.12274919867801</v>
      </c>
      <c r="Y101">
        <v>1</v>
      </c>
    </row>
    <row r="102" spans="1:25" x14ac:dyDescent="0.25">
      <c r="A102">
        <v>30</v>
      </c>
      <c r="B102">
        <v>2</v>
      </c>
      <c r="C102" s="1">
        <v>1000000</v>
      </c>
      <c r="D102">
        <v>1</v>
      </c>
      <c r="E102">
        <v>0</v>
      </c>
      <c r="F102">
        <v>0.75</v>
      </c>
      <c r="G102">
        <v>4.75</v>
      </c>
      <c r="H102">
        <v>0.75</v>
      </c>
      <c r="I102">
        <v>0</v>
      </c>
      <c r="J102">
        <v>-0.182021776923002</v>
      </c>
      <c r="K102">
        <v>-0.18113636447217901</v>
      </c>
      <c r="L102">
        <v>14.7996589262263</v>
      </c>
      <c r="M102">
        <v>63.565246244699097</v>
      </c>
      <c r="N102">
        <v>0.275140264065248</v>
      </c>
      <c r="O102">
        <v>4.1887902048030501</v>
      </c>
      <c r="P102">
        <v>0.42303993039040699</v>
      </c>
      <c r="Q102">
        <v>2.8057986246814899</v>
      </c>
      <c r="R102">
        <v>12.5613175687939</v>
      </c>
      <c r="S102">
        <v>0.62591247178218401</v>
      </c>
      <c r="T102">
        <v>12.546165759933301</v>
      </c>
      <c r="U102">
        <v>2.3448230801073399E-2</v>
      </c>
      <c r="V102">
        <v>0.44632101341010699</v>
      </c>
      <c r="W102">
        <v>2</v>
      </c>
      <c r="X102">
        <v>149.65772473341801</v>
      </c>
      <c r="Y102">
        <v>1</v>
      </c>
    </row>
    <row r="103" spans="1:25" x14ac:dyDescent="0.25">
      <c r="A103">
        <v>30</v>
      </c>
      <c r="B103">
        <v>2</v>
      </c>
      <c r="C103" s="1">
        <v>1000000</v>
      </c>
      <c r="D103">
        <v>1</v>
      </c>
      <c r="E103">
        <v>0</v>
      </c>
      <c r="F103">
        <v>0.77500000000000002</v>
      </c>
      <c r="G103">
        <v>4.7750000000000004</v>
      </c>
      <c r="H103">
        <v>0.77500000000000002</v>
      </c>
      <c r="I103">
        <v>0</v>
      </c>
      <c r="J103">
        <v>-0.13333494873416399</v>
      </c>
      <c r="K103">
        <v>-0.13096009667021699</v>
      </c>
      <c r="L103">
        <v>14.8250345006049</v>
      </c>
      <c r="M103">
        <v>63.879478479069299</v>
      </c>
      <c r="N103">
        <v>0.13832786325952601</v>
      </c>
      <c r="O103">
        <v>4.1887902035974101</v>
      </c>
      <c r="P103">
        <v>0.46513574821223602</v>
      </c>
      <c r="Q103">
        <v>1.9176846283107101</v>
      </c>
      <c r="R103">
        <v>12.5613207847762</v>
      </c>
      <c r="S103">
        <v>0.292378643122855</v>
      </c>
      <c r="T103">
        <v>12.5461786084468</v>
      </c>
      <c r="U103">
        <v>2.2033822278553598E-2</v>
      </c>
      <c r="V103">
        <v>0.305077496015425</v>
      </c>
      <c r="W103">
        <v>2</v>
      </c>
      <c r="X103">
        <v>148.648025115091</v>
      </c>
      <c r="Y103">
        <v>1</v>
      </c>
    </row>
    <row r="104" spans="1:25" x14ac:dyDescent="0.25">
      <c r="A104">
        <v>30</v>
      </c>
      <c r="B104">
        <v>2</v>
      </c>
      <c r="C104" s="1">
        <v>1000000</v>
      </c>
      <c r="D104">
        <v>1</v>
      </c>
      <c r="E104">
        <v>0</v>
      </c>
      <c r="F104">
        <v>0.8</v>
      </c>
      <c r="G104">
        <v>4.8</v>
      </c>
      <c r="H104">
        <v>0.8</v>
      </c>
      <c r="I104">
        <v>0</v>
      </c>
      <c r="J104">
        <v>-5.1515796298407301E-2</v>
      </c>
      <c r="K104">
        <v>-1.9234702319360501E-3</v>
      </c>
      <c r="L104">
        <v>14.8283805126629</v>
      </c>
      <c r="M104">
        <v>64.135988705920894</v>
      </c>
      <c r="N104">
        <v>1.0630932632010001E-2</v>
      </c>
      <c r="O104">
        <v>4.1887902047860504</v>
      </c>
      <c r="P104">
        <v>0.53562329689433796</v>
      </c>
      <c r="Q104">
        <v>2.42197674424681E-2</v>
      </c>
      <c r="R104">
        <v>12.5613225543681</v>
      </c>
      <c r="S104" s="1">
        <v>4.54868585391722E-5</v>
      </c>
      <c r="T104">
        <v>12.546185678302701</v>
      </c>
      <c r="U104">
        <v>3.3120016566214501E-2</v>
      </c>
      <c r="V104">
        <v>3.7059819150401501E-3</v>
      </c>
      <c r="W104">
        <v>2</v>
      </c>
      <c r="X104">
        <v>146.81013797550401</v>
      </c>
      <c r="Y104">
        <v>1</v>
      </c>
    </row>
    <row r="105" spans="1:25" x14ac:dyDescent="0.25">
      <c r="A105">
        <v>30</v>
      </c>
      <c r="B105">
        <v>2</v>
      </c>
      <c r="C105" s="1">
        <v>1000000</v>
      </c>
      <c r="D105">
        <v>1</v>
      </c>
      <c r="E105">
        <v>0</v>
      </c>
      <c r="F105">
        <v>0.82499999999999996</v>
      </c>
      <c r="G105">
        <v>4.8250000000000002</v>
      </c>
      <c r="H105">
        <v>0.82499999999999996</v>
      </c>
      <c r="I105">
        <v>0</v>
      </c>
      <c r="J105">
        <v>1.9570821741225999E-2</v>
      </c>
      <c r="K105">
        <v>-1.3215296093840301E-3</v>
      </c>
      <c r="L105">
        <v>14.8381358694461</v>
      </c>
      <c r="M105">
        <v>64.145749717451295</v>
      </c>
      <c r="N105">
        <v>1.4979261679095299E-3</v>
      </c>
      <c r="O105">
        <v>4.1887902047863497</v>
      </c>
      <c r="P105">
        <v>0.55097046434076602</v>
      </c>
      <c r="Q105">
        <v>1.66306205913428E-2</v>
      </c>
      <c r="R105">
        <v>12.561323693163899</v>
      </c>
      <c r="S105" s="1">
        <v>2.1588944883168101E-5</v>
      </c>
      <c r="T105">
        <v>12.546190228037901</v>
      </c>
      <c r="U105">
        <v>1.7615379716503898E-2</v>
      </c>
      <c r="V105">
        <v>2.5731132631698701E-3</v>
      </c>
      <c r="W105">
        <v>2</v>
      </c>
      <c r="X105">
        <v>146.19580863867401</v>
      </c>
      <c r="Y105">
        <v>1</v>
      </c>
    </row>
    <row r="106" spans="1:25" x14ac:dyDescent="0.25">
      <c r="A106">
        <v>30</v>
      </c>
      <c r="B106">
        <v>2</v>
      </c>
      <c r="C106" s="1">
        <v>1000000</v>
      </c>
      <c r="D106">
        <v>1</v>
      </c>
      <c r="E106">
        <v>0</v>
      </c>
      <c r="F106">
        <v>0.85</v>
      </c>
      <c r="G106">
        <v>4.8499999999999996</v>
      </c>
      <c r="H106">
        <v>0.85</v>
      </c>
      <c r="I106">
        <v>0</v>
      </c>
      <c r="J106">
        <v>-6.4289932137153796E-2</v>
      </c>
      <c r="K106">
        <v>-2.3372684093296001E-3</v>
      </c>
      <c r="L106">
        <v>14.8454481269494</v>
      </c>
      <c r="M106">
        <v>64.153015307865701</v>
      </c>
      <c r="N106">
        <v>1.8050644493827601E-3</v>
      </c>
      <c r="O106">
        <v>4.1887902047863603</v>
      </c>
      <c r="P106">
        <v>0.53745865616272404</v>
      </c>
      <c r="Q106">
        <v>2.9440295876368601E-2</v>
      </c>
      <c r="R106">
        <v>12.5613241524233</v>
      </c>
      <c r="S106" s="1">
        <v>6.4483861878789094E-5</v>
      </c>
      <c r="T106">
        <v>12.546192062874301</v>
      </c>
      <c r="U106">
        <v>2.31829776734854E-2</v>
      </c>
      <c r="V106">
        <v>4.2452969620441396E-3</v>
      </c>
      <c r="W106">
        <v>2</v>
      </c>
      <c r="X106">
        <v>146.65986898387999</v>
      </c>
      <c r="Y106">
        <v>1</v>
      </c>
    </row>
    <row r="107" spans="1:25" x14ac:dyDescent="0.25">
      <c r="A107">
        <v>30</v>
      </c>
      <c r="B107">
        <v>2</v>
      </c>
      <c r="C107" s="1">
        <v>1000000</v>
      </c>
      <c r="D107">
        <v>1</v>
      </c>
      <c r="E107">
        <v>0</v>
      </c>
      <c r="F107">
        <v>0.875</v>
      </c>
      <c r="G107">
        <v>4.875</v>
      </c>
      <c r="H107">
        <v>0.875</v>
      </c>
      <c r="I107">
        <v>0</v>
      </c>
      <c r="J107">
        <v>-7.1504073616264596E-2</v>
      </c>
      <c r="K107">
        <v>-2.66239568173488E-3</v>
      </c>
      <c r="L107">
        <v>14.8546334107257</v>
      </c>
      <c r="M107">
        <v>64.162173708579402</v>
      </c>
      <c r="N107">
        <v>4.1672793808058698E-3</v>
      </c>
      <c r="O107">
        <v>4.1887902047863497</v>
      </c>
      <c r="P107">
        <v>0.512678172102353</v>
      </c>
      <c r="Q107">
        <v>3.3544207511714198E-2</v>
      </c>
      <c r="R107">
        <v>12.5613243594896</v>
      </c>
      <c r="S107" s="1">
        <v>8.5391438263508298E-5</v>
      </c>
      <c r="T107">
        <v>12.546192890152501</v>
      </c>
      <c r="U107">
        <v>8.3371874322635802E-3</v>
      </c>
      <c r="V107">
        <v>4.9658668841154104E-3</v>
      </c>
      <c r="W107">
        <v>2</v>
      </c>
      <c r="X107">
        <v>147.46445093988501</v>
      </c>
      <c r="Y107">
        <v>1</v>
      </c>
    </row>
    <row r="108" spans="1:25" x14ac:dyDescent="0.25">
      <c r="A108">
        <v>30</v>
      </c>
      <c r="B108">
        <v>2</v>
      </c>
      <c r="C108" s="1">
        <v>1000000</v>
      </c>
      <c r="D108">
        <v>1</v>
      </c>
      <c r="E108">
        <v>0</v>
      </c>
      <c r="F108">
        <v>0.9</v>
      </c>
      <c r="G108">
        <v>4.9000000000000004</v>
      </c>
      <c r="H108">
        <v>0.9</v>
      </c>
      <c r="I108">
        <v>0</v>
      </c>
      <c r="J108">
        <v>-7.2938824518874595E-2</v>
      </c>
      <c r="K108">
        <v>-2.4311882176909498E-3</v>
      </c>
      <c r="L108">
        <v>14.8628442907889</v>
      </c>
      <c r="M108">
        <v>64.170371798105606</v>
      </c>
      <c r="N108">
        <v>7.4388743974904202E-4</v>
      </c>
      <c r="O108">
        <v>4.1887902047863399</v>
      </c>
      <c r="P108">
        <v>0.51440185215007195</v>
      </c>
      <c r="Q108">
        <v>3.0621764276782901E-2</v>
      </c>
      <c r="R108">
        <v>12.561324447819199</v>
      </c>
      <c r="S108" s="1">
        <v>6.8576833190035102E-5</v>
      </c>
      <c r="T108">
        <v>12.5461932430483</v>
      </c>
      <c r="U108">
        <v>6.8199859790063298E-3</v>
      </c>
      <c r="V108">
        <v>4.3722668263428601E-3</v>
      </c>
      <c r="W108">
        <v>2</v>
      </c>
      <c r="X108">
        <v>147.41584908854901</v>
      </c>
      <c r="Y108">
        <v>1</v>
      </c>
    </row>
    <row r="109" spans="1:25" x14ac:dyDescent="0.25">
      <c r="A109">
        <v>30</v>
      </c>
      <c r="B109">
        <v>2</v>
      </c>
      <c r="C109" s="1">
        <v>1000000</v>
      </c>
      <c r="D109">
        <v>1</v>
      </c>
      <c r="E109">
        <v>0</v>
      </c>
      <c r="F109">
        <v>0.92500000000000004</v>
      </c>
      <c r="G109">
        <v>4.9249999999999998</v>
      </c>
      <c r="H109">
        <v>0.92500000000000004</v>
      </c>
      <c r="I109">
        <v>0</v>
      </c>
      <c r="J109">
        <v>-7.7122187453137606E-2</v>
      </c>
      <c r="K109">
        <v>-2.8221534273457E-3</v>
      </c>
      <c r="L109">
        <v>14.8721684077733</v>
      </c>
      <c r="M109">
        <v>64.1796584925047</v>
      </c>
      <c r="N109">
        <v>2.3883619195015599E-4</v>
      </c>
      <c r="O109">
        <v>4.1887902047863204</v>
      </c>
      <c r="P109">
        <v>0.49598034883405301</v>
      </c>
      <c r="Q109">
        <v>3.55508263015928E-2</v>
      </c>
      <c r="R109">
        <v>12.5613244639773</v>
      </c>
      <c r="S109" s="1">
        <v>8.73022521823195E-5</v>
      </c>
      <c r="T109">
        <v>12.5461933076042</v>
      </c>
      <c r="U109">
        <v>4.6128615051288999E-3</v>
      </c>
      <c r="V109">
        <v>4.7916268658319003E-3</v>
      </c>
      <c r="W109">
        <v>2</v>
      </c>
      <c r="X109">
        <v>148.067097083341</v>
      </c>
      <c r="Y109">
        <v>1</v>
      </c>
    </row>
    <row r="110" spans="1:25" x14ac:dyDescent="0.25">
      <c r="A110">
        <v>30</v>
      </c>
      <c r="B110">
        <v>2</v>
      </c>
      <c r="C110" s="1">
        <v>1000000</v>
      </c>
      <c r="D110">
        <v>1</v>
      </c>
      <c r="E110">
        <v>0</v>
      </c>
      <c r="F110">
        <v>0.95</v>
      </c>
      <c r="G110">
        <v>4.95</v>
      </c>
      <c r="H110">
        <v>0.95</v>
      </c>
      <c r="I110">
        <v>0</v>
      </c>
      <c r="J110">
        <v>-3.7679290595452497E-2</v>
      </c>
      <c r="K110" s="1">
        <v>-4.2455047568198301E-5</v>
      </c>
      <c r="L110">
        <v>14.880521693017201</v>
      </c>
      <c r="M110">
        <v>64.188040322663596</v>
      </c>
      <c r="N110" s="1">
        <v>1.5984039223609402E-5</v>
      </c>
      <c r="O110">
        <v>4.1887902047863301</v>
      </c>
      <c r="P110">
        <v>0.48803485483530201</v>
      </c>
      <c r="Q110">
        <v>5.3352268315103404E-4</v>
      </c>
      <c r="R110">
        <v>12.5613245490098</v>
      </c>
      <c r="S110" s="1">
        <v>1.7233358067793901E-8</v>
      </c>
      <c r="T110">
        <v>12.546193647325801</v>
      </c>
      <c r="U110">
        <v>-4.37039271602552E-3</v>
      </c>
      <c r="V110" s="1">
        <v>6.1040562059086297E-5</v>
      </c>
      <c r="W110">
        <v>2</v>
      </c>
      <c r="X110">
        <v>148.24468352271199</v>
      </c>
      <c r="Y110">
        <v>1</v>
      </c>
    </row>
    <row r="111" spans="1:25" x14ac:dyDescent="0.25">
      <c r="A111">
        <v>30</v>
      </c>
      <c r="B111">
        <v>2</v>
      </c>
      <c r="C111" s="1">
        <v>1000000</v>
      </c>
      <c r="D111">
        <v>1</v>
      </c>
      <c r="E111">
        <v>0</v>
      </c>
      <c r="F111">
        <v>0.97499999999999998</v>
      </c>
      <c r="G111">
        <v>4.9749999999999996</v>
      </c>
      <c r="H111">
        <v>0.97499999999999998</v>
      </c>
      <c r="I111">
        <v>0</v>
      </c>
      <c r="J111">
        <v>-7.2401510940615199E-2</v>
      </c>
      <c r="K111" s="1">
        <v>-4.1458997968478399E-5</v>
      </c>
      <c r="L111">
        <v>14.8909431863388</v>
      </c>
      <c r="M111">
        <v>64.198391146700402</v>
      </c>
      <c r="N111" s="1">
        <v>2.8261338018028101E-5</v>
      </c>
      <c r="O111">
        <v>4.1887902047863399</v>
      </c>
      <c r="P111">
        <v>0.47396565214694097</v>
      </c>
      <c r="Q111">
        <v>5.2100595503743797E-4</v>
      </c>
      <c r="R111">
        <v>12.561324543002801</v>
      </c>
      <c r="S111" s="1">
        <v>1.7745236915870399E-8</v>
      </c>
      <c r="T111">
        <v>12.5461936233269</v>
      </c>
      <c r="U111">
        <v>-3.1291086911365402E-3</v>
      </c>
      <c r="V111" s="1">
        <v>6.8591523816694997E-5</v>
      </c>
      <c r="W111">
        <v>2</v>
      </c>
      <c r="X111">
        <v>148.761479873627</v>
      </c>
      <c r="Y111">
        <v>1</v>
      </c>
    </row>
    <row r="112" spans="1:25" x14ac:dyDescent="0.25">
      <c r="A112">
        <v>30</v>
      </c>
      <c r="B112">
        <v>2</v>
      </c>
      <c r="C112" s="1">
        <v>1000000</v>
      </c>
      <c r="D112">
        <v>1</v>
      </c>
      <c r="E112">
        <v>0</v>
      </c>
      <c r="F112">
        <v>1</v>
      </c>
      <c r="G112">
        <v>5</v>
      </c>
      <c r="H112">
        <v>1</v>
      </c>
      <c r="I112">
        <v>0</v>
      </c>
      <c r="J112">
        <v>-0.81029116901766196</v>
      </c>
      <c r="K112">
        <v>-1.1953835920705499E-2</v>
      </c>
      <c r="L112">
        <v>14.914872656583601</v>
      </c>
      <c r="M112">
        <v>64.222225035683906</v>
      </c>
      <c r="N112">
        <v>1.1787709518489499E-3</v>
      </c>
      <c r="O112">
        <v>4.1887902047863399</v>
      </c>
      <c r="P112">
        <v>0.45658325520899901</v>
      </c>
      <c r="Q112">
        <v>0.15023235873299301</v>
      </c>
      <c r="R112">
        <v>12.561324598268</v>
      </c>
      <c r="S112" s="1">
        <v>1.7550238631431699E-5</v>
      </c>
      <c r="T112">
        <v>12.5461938441222</v>
      </c>
      <c r="U112">
        <v>-2.3817733414725002E-2</v>
      </c>
      <c r="V112">
        <v>1.71823355052027E-3</v>
      </c>
      <c r="W112">
        <v>2</v>
      </c>
      <c r="X112">
        <v>149.31751709326599</v>
      </c>
      <c r="Y112">
        <v>1</v>
      </c>
    </row>
    <row r="113" spans="1:25" x14ac:dyDescent="0.25">
      <c r="A113">
        <v>30</v>
      </c>
      <c r="B113">
        <v>2</v>
      </c>
      <c r="C113" s="1">
        <v>1000000</v>
      </c>
      <c r="D113">
        <v>1</v>
      </c>
      <c r="E113">
        <v>0</v>
      </c>
      <c r="F113">
        <v>1.0249999999999999</v>
      </c>
      <c r="G113">
        <v>5.0250000000000004</v>
      </c>
      <c r="H113">
        <v>1.0249999999999999</v>
      </c>
      <c r="I113">
        <v>0</v>
      </c>
      <c r="J113">
        <v>-5.41890578797809E-2</v>
      </c>
      <c r="K113">
        <v>-2.7278775015950201E-2</v>
      </c>
      <c r="L113">
        <v>14.866418551965101</v>
      </c>
      <c r="M113">
        <v>64.173820459891502</v>
      </c>
      <c r="N113" s="1">
        <v>4.6098161282321001E-6</v>
      </c>
      <c r="O113">
        <v>4.1887902047863301</v>
      </c>
      <c r="P113">
        <v>0.50667526981407196</v>
      </c>
      <c r="Q113">
        <v>0.34261573453319899</v>
      </c>
      <c r="R113">
        <v>12.5613245932462</v>
      </c>
      <c r="S113">
        <v>-1.7709787081025599E-4</v>
      </c>
      <c r="T113">
        <v>12.546193824058699</v>
      </c>
      <c r="U113">
        <v>3.6049178659004297E-2</v>
      </c>
      <c r="V113" s="1">
        <v>3.3109860426817798E-5</v>
      </c>
      <c r="W113">
        <v>2</v>
      </c>
      <c r="X113">
        <v>147.59856917531499</v>
      </c>
      <c r="Y113">
        <v>1</v>
      </c>
    </row>
    <row r="114" spans="1:25" x14ac:dyDescent="0.25">
      <c r="A114">
        <v>30</v>
      </c>
      <c r="B114">
        <v>2</v>
      </c>
      <c r="C114" s="1">
        <v>1000000</v>
      </c>
      <c r="D114">
        <v>1</v>
      </c>
      <c r="E114">
        <v>0</v>
      </c>
      <c r="F114">
        <v>1.05</v>
      </c>
      <c r="G114">
        <v>5.05</v>
      </c>
      <c r="H114">
        <v>1.05</v>
      </c>
      <c r="I114">
        <v>0</v>
      </c>
      <c r="J114">
        <v>-2.7297582830691301E-2</v>
      </c>
      <c r="K114">
        <v>-2.1875897302741702E-2</v>
      </c>
      <c r="L114">
        <v>14.900379732726799</v>
      </c>
      <c r="M114">
        <v>64.207741627580504</v>
      </c>
      <c r="N114">
        <v>4.3640972012178801E-4</v>
      </c>
      <c r="O114">
        <v>4.1887902047863301</v>
      </c>
      <c r="P114">
        <v>0.46329092580201198</v>
      </c>
      <c r="Q114">
        <v>0.27457033345104298</v>
      </c>
      <c r="R114">
        <v>12.561324609982799</v>
      </c>
      <c r="S114">
        <v>-3.5647101904458402E-4</v>
      </c>
      <c r="T114">
        <v>12.5461938909246</v>
      </c>
      <c r="U114">
        <v>-9.9930456378465003E-3</v>
      </c>
      <c r="V114" s="1">
        <v>1.4475603791050199E-5</v>
      </c>
      <c r="W114">
        <v>2</v>
      </c>
      <c r="X114">
        <v>149.18097506641701</v>
      </c>
      <c r="Y114">
        <v>1</v>
      </c>
    </row>
    <row r="115" spans="1:25" x14ac:dyDescent="0.25">
      <c r="A115">
        <v>30</v>
      </c>
      <c r="B115">
        <v>2</v>
      </c>
      <c r="C115" s="1">
        <v>1000000</v>
      </c>
      <c r="D115">
        <v>1</v>
      </c>
      <c r="E115">
        <v>0</v>
      </c>
      <c r="F115">
        <v>1.075</v>
      </c>
      <c r="G115">
        <v>5.0750000000000002</v>
      </c>
      <c r="H115">
        <v>1.075</v>
      </c>
      <c r="I115">
        <v>0</v>
      </c>
      <c r="J115">
        <v>-0.105681494064238</v>
      </c>
      <c r="K115">
        <v>-2.30054049521978E-2</v>
      </c>
      <c r="L115">
        <v>14.8845229243089</v>
      </c>
      <c r="M115">
        <v>64.191622149520597</v>
      </c>
      <c r="N115">
        <v>7.6262181420991304E-4</v>
      </c>
      <c r="O115">
        <v>4.1887902047863204</v>
      </c>
      <c r="P115">
        <v>0.46554322189597203</v>
      </c>
      <c r="Q115">
        <v>0.288810440508038</v>
      </c>
      <c r="R115">
        <v>12.5613246162854</v>
      </c>
      <c r="S115">
        <v>-3.0502458347125198E-4</v>
      </c>
      <c r="T115">
        <v>12.546193916105</v>
      </c>
      <c r="U115">
        <v>-5.5476079688240301E-3</v>
      </c>
      <c r="V115">
        <v>2.26959809606812E-4</v>
      </c>
      <c r="W115">
        <v>2</v>
      </c>
      <c r="X115">
        <v>149.15994998803001</v>
      </c>
      <c r="Y115">
        <v>1</v>
      </c>
    </row>
    <row r="116" spans="1:25" x14ac:dyDescent="0.25">
      <c r="A116">
        <v>30</v>
      </c>
      <c r="B116">
        <v>2</v>
      </c>
      <c r="C116" s="1">
        <v>1000000</v>
      </c>
      <c r="D116">
        <v>1</v>
      </c>
      <c r="E116">
        <v>0</v>
      </c>
      <c r="F116">
        <v>1.1000000000000001</v>
      </c>
      <c r="G116">
        <v>5.0999999999999996</v>
      </c>
      <c r="H116">
        <v>1.1000000000000001</v>
      </c>
      <c r="I116">
        <v>0</v>
      </c>
      <c r="J116">
        <v>-8.9596600964995707E-2</v>
      </c>
      <c r="K116">
        <v>-1.5504769958372199E-2</v>
      </c>
      <c r="L116">
        <v>14.9074729413084</v>
      </c>
      <c r="M116">
        <v>64.214039263273705</v>
      </c>
      <c r="N116" s="1">
        <v>9.5749971807824406E-5</v>
      </c>
      <c r="O116">
        <v>4.1887902047863603</v>
      </c>
      <c r="P116">
        <v>0.45126594753550697</v>
      </c>
      <c r="Q116">
        <v>0.194811652931664</v>
      </c>
      <c r="R116">
        <v>12.561324620849501</v>
      </c>
      <c r="S116" s="1">
        <v>-2.9952022494800799E-5</v>
      </c>
      <c r="T116">
        <v>12.5461939343393</v>
      </c>
      <c r="U116">
        <v>-1.12410355385232E-2</v>
      </c>
      <c r="V116">
        <v>1.530073886763E-4</v>
      </c>
      <c r="W116">
        <v>2</v>
      </c>
      <c r="X116">
        <v>149.57370477369099</v>
      </c>
      <c r="Y116">
        <v>1</v>
      </c>
    </row>
    <row r="117" spans="1:25" x14ac:dyDescent="0.25">
      <c r="A117">
        <v>30</v>
      </c>
      <c r="B117">
        <v>2</v>
      </c>
      <c r="C117" s="1">
        <v>1000000</v>
      </c>
      <c r="D117">
        <v>1</v>
      </c>
      <c r="E117">
        <v>0</v>
      </c>
      <c r="F117">
        <v>1.125</v>
      </c>
      <c r="G117">
        <v>5.125</v>
      </c>
      <c r="H117">
        <v>1.125</v>
      </c>
      <c r="I117">
        <v>0</v>
      </c>
      <c r="J117">
        <v>-7.7080415178815101E-2</v>
      </c>
      <c r="K117">
        <v>-1.4365916802523099E-2</v>
      </c>
      <c r="L117">
        <v>14.927627923043801</v>
      </c>
      <c r="M117">
        <v>64.233900856294596</v>
      </c>
      <c r="N117" s="1">
        <v>2.7662337418401E-5</v>
      </c>
      <c r="O117">
        <v>4.1887902047863301</v>
      </c>
      <c r="P117">
        <v>0.43425512823312501</v>
      </c>
      <c r="Q117">
        <v>0.18047650427126899</v>
      </c>
      <c r="R117">
        <v>12.561324621221701</v>
      </c>
      <c r="S117" s="1">
        <v>-5.86412007300618E-5</v>
      </c>
      <c r="T117">
        <v>12.546193935826301</v>
      </c>
      <c r="U117">
        <v>-2.4934948552115799E-2</v>
      </c>
      <c r="V117" s="1">
        <v>3.8260290001456402E-6</v>
      </c>
      <c r="W117">
        <v>2</v>
      </c>
      <c r="X117">
        <v>150.18487048654401</v>
      </c>
      <c r="Y117">
        <v>1</v>
      </c>
    </row>
    <row r="118" spans="1:25" x14ac:dyDescent="0.25">
      <c r="A118">
        <v>30</v>
      </c>
      <c r="B118">
        <v>2</v>
      </c>
      <c r="C118" s="1">
        <v>1000000</v>
      </c>
      <c r="D118">
        <v>1</v>
      </c>
      <c r="E118">
        <v>0</v>
      </c>
      <c r="F118">
        <v>1.1499999999999999</v>
      </c>
      <c r="G118">
        <v>5.15</v>
      </c>
      <c r="H118">
        <v>1.1499999999999999</v>
      </c>
      <c r="I118">
        <v>0</v>
      </c>
      <c r="J118">
        <v>-7.5100125642181603E-2</v>
      </c>
      <c r="K118">
        <v>-2.3181419791926599E-2</v>
      </c>
      <c r="L118">
        <v>14.926386208361</v>
      </c>
      <c r="M118">
        <v>64.232432542674502</v>
      </c>
      <c r="N118" s="1">
        <v>5.9586993296459897E-7</v>
      </c>
      <c r="O118">
        <v>4.1887902047863497</v>
      </c>
      <c r="P118">
        <v>0.45354915288139103</v>
      </c>
      <c r="Q118">
        <v>0.29112789944544998</v>
      </c>
      <c r="R118">
        <v>12.5613246196663</v>
      </c>
      <c r="S118">
        <v>-1.9668543729706501E-4</v>
      </c>
      <c r="T118">
        <v>12.546193929612199</v>
      </c>
      <c r="U118">
        <v>-1.7340450786631899E-2</v>
      </c>
      <c r="V118" s="1">
        <v>2.5833281840220699E-5</v>
      </c>
      <c r="W118">
        <v>2</v>
      </c>
      <c r="X118">
        <v>149.27887833942501</v>
      </c>
      <c r="Y118">
        <v>1</v>
      </c>
    </row>
    <row r="119" spans="1:25" x14ac:dyDescent="0.25">
      <c r="A119">
        <v>30</v>
      </c>
      <c r="B119">
        <v>2</v>
      </c>
      <c r="C119" s="1">
        <v>1000000</v>
      </c>
      <c r="D119">
        <v>1</v>
      </c>
      <c r="E119">
        <v>0</v>
      </c>
      <c r="F119">
        <v>1.175</v>
      </c>
      <c r="G119">
        <v>5.1749999999999998</v>
      </c>
      <c r="H119">
        <v>1.175</v>
      </c>
      <c r="I119">
        <v>0</v>
      </c>
      <c r="J119">
        <v>-0.50309062004305805</v>
      </c>
      <c r="K119">
        <v>-3.0089228634964699E-3</v>
      </c>
      <c r="L119">
        <v>14.983400700918899</v>
      </c>
      <c r="M119">
        <v>64.288920533522898</v>
      </c>
      <c r="N119">
        <v>2.9581632770129699E-4</v>
      </c>
      <c r="O119">
        <v>4.1887902047863497</v>
      </c>
      <c r="P119">
        <v>0.43592004694231401</v>
      </c>
      <c r="Q119">
        <v>3.7809460085539898E-2</v>
      </c>
      <c r="R119">
        <v>12.5613246216374</v>
      </c>
      <c r="S119" s="1">
        <v>-2.0413917507182301E-6</v>
      </c>
      <c r="T119">
        <v>12.546193937487001</v>
      </c>
      <c r="U119">
        <v>-9.7221307486573295E-3</v>
      </c>
      <c r="V119">
        <v>2.1725975007411E-4</v>
      </c>
      <c r="W119">
        <v>2</v>
      </c>
      <c r="X119">
        <v>149.78978205021599</v>
      </c>
      <c r="Y119">
        <v>1</v>
      </c>
    </row>
    <row r="120" spans="1:25" x14ac:dyDescent="0.25">
      <c r="A120">
        <v>30</v>
      </c>
      <c r="B120">
        <v>2</v>
      </c>
      <c r="C120" s="1">
        <v>1000000</v>
      </c>
      <c r="D120">
        <v>1</v>
      </c>
      <c r="E120">
        <v>0</v>
      </c>
      <c r="F120">
        <v>1.2</v>
      </c>
      <c r="G120">
        <v>5.2</v>
      </c>
      <c r="H120">
        <v>1.2</v>
      </c>
      <c r="I120">
        <v>0</v>
      </c>
      <c r="J120">
        <v>-8.1016204160746993E-2</v>
      </c>
      <c r="K120">
        <v>-3.4268834970984603E-2</v>
      </c>
      <c r="L120">
        <v>14.9578762934275</v>
      </c>
      <c r="M120">
        <v>64.263338996249303</v>
      </c>
      <c r="N120" s="1">
        <v>7.6830156670913806E-6</v>
      </c>
      <c r="O120">
        <v>4.1887902047863204</v>
      </c>
      <c r="P120">
        <v>0.44487524145839302</v>
      </c>
      <c r="Q120">
        <v>0.43029843868477402</v>
      </c>
      <c r="R120">
        <v>12.561324621735601</v>
      </c>
      <c r="S120">
        <v>-3.7813082363005301E-4</v>
      </c>
      <c r="T120">
        <v>12.546193937879501</v>
      </c>
      <c r="U120">
        <v>-2.79078665333832E-3</v>
      </c>
      <c r="V120">
        <v>5.1888619925071703E-4</v>
      </c>
      <c r="W120">
        <v>2</v>
      </c>
      <c r="X120">
        <v>149.41874508017401</v>
      </c>
      <c r="Y120">
        <v>1</v>
      </c>
    </row>
    <row r="121" spans="1:25" x14ac:dyDescent="0.25">
      <c r="A121">
        <v>30</v>
      </c>
      <c r="B121">
        <v>2</v>
      </c>
      <c r="C121" s="1">
        <v>1000000</v>
      </c>
      <c r="D121">
        <v>1</v>
      </c>
      <c r="E121">
        <v>0</v>
      </c>
      <c r="F121">
        <v>1.2250000000000001</v>
      </c>
      <c r="G121">
        <v>5.2249999999999996</v>
      </c>
      <c r="H121">
        <v>1.2250000000000001</v>
      </c>
      <c r="I121">
        <v>0</v>
      </c>
      <c r="J121">
        <v>-0.126005314670744</v>
      </c>
      <c r="K121">
        <v>-2.02731661062008E-2</v>
      </c>
      <c r="L121">
        <v>15.017885645607199</v>
      </c>
      <c r="M121">
        <v>64.322313962208398</v>
      </c>
      <c r="N121" s="1">
        <v>2.1290776777460599E-5</v>
      </c>
      <c r="O121">
        <v>4.1887902047863301</v>
      </c>
      <c r="P121">
        <v>0.41234062793015802</v>
      </c>
      <c r="Q121">
        <v>0.25484195699925899</v>
      </c>
      <c r="R121">
        <v>12.561324623875599</v>
      </c>
      <c r="S121" s="1">
        <v>9.9236137227009293E-5</v>
      </c>
      <c r="T121">
        <v>12.5461939464292</v>
      </c>
      <c r="U121">
        <v>-6.2706847670802798E-3</v>
      </c>
      <c r="V121">
        <v>1.1713302990213001E-3</v>
      </c>
      <c r="W121">
        <v>2</v>
      </c>
      <c r="X121">
        <v>150.69826012164401</v>
      </c>
      <c r="Y121">
        <v>1</v>
      </c>
    </row>
    <row r="122" spans="1:25" x14ac:dyDescent="0.25">
      <c r="A122">
        <v>30</v>
      </c>
      <c r="B122">
        <v>2</v>
      </c>
      <c r="C122" s="1">
        <v>1000000</v>
      </c>
      <c r="D122">
        <v>1</v>
      </c>
      <c r="E122">
        <v>0</v>
      </c>
      <c r="F122">
        <v>1.25</v>
      </c>
      <c r="G122">
        <v>5.25</v>
      </c>
      <c r="H122">
        <v>1.25</v>
      </c>
      <c r="I122">
        <v>0</v>
      </c>
      <c r="J122">
        <v>-8.9295207928072495E-2</v>
      </c>
      <c r="K122">
        <v>-2.6104352702969302E-2</v>
      </c>
      <c r="L122">
        <v>14.9839509011882</v>
      </c>
      <c r="M122">
        <v>64.287754982708506</v>
      </c>
      <c r="N122" s="1">
        <v>5.2501546712921998E-6</v>
      </c>
      <c r="O122">
        <v>4.1887902047863497</v>
      </c>
      <c r="P122">
        <v>0.41022815842544302</v>
      </c>
      <c r="Q122">
        <v>0.32784237718067899</v>
      </c>
      <c r="R122">
        <v>12.5613246237775</v>
      </c>
      <c r="S122">
        <v>-2.3717720100930399E-4</v>
      </c>
      <c r="T122">
        <v>12.546193946037</v>
      </c>
      <c r="U122">
        <v>-4.0360201800495099E-2</v>
      </c>
      <c r="V122" s="1">
        <v>1.5699057692776001E-7</v>
      </c>
      <c r="W122">
        <v>2</v>
      </c>
      <c r="X122">
        <v>150.90951359646601</v>
      </c>
      <c r="Y122">
        <v>1</v>
      </c>
    </row>
    <row r="123" spans="1:25" x14ac:dyDescent="0.25">
      <c r="A123">
        <v>30</v>
      </c>
      <c r="B123">
        <v>2</v>
      </c>
      <c r="C123" s="1">
        <v>1000000</v>
      </c>
      <c r="D123">
        <v>1</v>
      </c>
      <c r="E123">
        <v>0</v>
      </c>
      <c r="F123">
        <v>1.2749999999999999</v>
      </c>
      <c r="G123">
        <v>5.2750000000000004</v>
      </c>
      <c r="H123">
        <v>1.2749999999999999</v>
      </c>
      <c r="I123">
        <v>0</v>
      </c>
      <c r="J123">
        <v>-9.3498544321661201E-2</v>
      </c>
      <c r="K123">
        <v>-1.6243561456819201E-2</v>
      </c>
      <c r="L123">
        <v>14.980268636545601</v>
      </c>
      <c r="M123">
        <v>64.284181057186004</v>
      </c>
      <c r="N123" s="1">
        <v>2.3566244364150799E-5</v>
      </c>
      <c r="O123">
        <v>4.1887902047863204</v>
      </c>
      <c r="P123">
        <v>0.41836435006172101</v>
      </c>
      <c r="Q123">
        <v>0.20399780366898601</v>
      </c>
      <c r="R123">
        <v>12.561324617494099</v>
      </c>
      <c r="S123">
        <v>-1.49163874150119E-4</v>
      </c>
      <c r="T123">
        <v>12.5461939209339</v>
      </c>
      <c r="U123">
        <v>-3.8515652400974202E-3</v>
      </c>
      <c r="V123">
        <v>2.8001801940476999E-4</v>
      </c>
      <c r="W123">
        <v>2</v>
      </c>
      <c r="X123">
        <v>150.65980751796999</v>
      </c>
      <c r="Y123">
        <v>1</v>
      </c>
    </row>
    <row r="124" spans="1:25" x14ac:dyDescent="0.25">
      <c r="A124">
        <v>30</v>
      </c>
      <c r="B124">
        <v>2</v>
      </c>
      <c r="C124" s="1">
        <v>1000000</v>
      </c>
      <c r="D124">
        <v>1</v>
      </c>
      <c r="E124">
        <v>0</v>
      </c>
      <c r="F124">
        <v>1.3</v>
      </c>
      <c r="G124">
        <v>5.3</v>
      </c>
      <c r="H124">
        <v>1.3</v>
      </c>
      <c r="I124">
        <v>0</v>
      </c>
      <c r="J124">
        <v>-4.6630744479207301E-2</v>
      </c>
      <c r="K124">
        <v>-1.6100871574849501E-2</v>
      </c>
      <c r="L124">
        <v>14.8512299633014</v>
      </c>
      <c r="M124">
        <v>64.314967484780894</v>
      </c>
      <c r="N124">
        <v>4.30039101162345E-4</v>
      </c>
      <c r="O124">
        <v>4.1887902047863204</v>
      </c>
      <c r="P124">
        <v>0.41767818297036802</v>
      </c>
      <c r="Q124">
        <v>0.20230479261808301</v>
      </c>
      <c r="R124">
        <v>12.561324620017499</v>
      </c>
      <c r="S124" s="1">
        <v>-2.9600307946532801E-5</v>
      </c>
      <c r="T124">
        <v>12.5461939310152</v>
      </c>
      <c r="U124">
        <v>-1.8445857736145001E-3</v>
      </c>
      <c r="V124" s="1">
        <v>8.3669046271748194E-5</v>
      </c>
      <c r="W124">
        <v>2</v>
      </c>
      <c r="X124">
        <v>150.61602444557801</v>
      </c>
      <c r="Y124">
        <v>1</v>
      </c>
    </row>
    <row r="125" spans="1:25" x14ac:dyDescent="0.25">
      <c r="A125">
        <v>60</v>
      </c>
      <c r="B125">
        <v>2</v>
      </c>
      <c r="C125" s="1">
        <v>1000000</v>
      </c>
      <c r="D125">
        <v>1</v>
      </c>
      <c r="E125">
        <v>0</v>
      </c>
      <c r="F125">
        <v>0.3</v>
      </c>
      <c r="G125">
        <v>4.3</v>
      </c>
      <c r="H125">
        <v>0.3</v>
      </c>
      <c r="I125">
        <v>0</v>
      </c>
      <c r="J125">
        <v>9.8469688528670094</v>
      </c>
      <c r="K125">
        <v>9.8666341369561206</v>
      </c>
      <c r="L125">
        <v>12.730276499371</v>
      </c>
      <c r="M125">
        <v>55.051678385331201</v>
      </c>
      <c r="N125">
        <v>2.48753559442116E-2</v>
      </c>
      <c r="O125">
        <v>4.1887902047862697</v>
      </c>
      <c r="P125">
        <v>5.25845920111633</v>
      </c>
      <c r="Q125">
        <v>13.256796565145301</v>
      </c>
      <c r="R125">
        <v>12.561324334137399</v>
      </c>
      <c r="S125">
        <v>13.972650624209299</v>
      </c>
      <c r="T125">
        <v>12.546192788874601</v>
      </c>
      <c r="U125">
        <v>3.5160262594538798E-2</v>
      </c>
      <c r="V125">
        <v>2</v>
      </c>
      <c r="W125">
        <v>2.1385100000000001</v>
      </c>
      <c r="X125">
        <v>26.402505417687301</v>
      </c>
      <c r="Y125">
        <v>1</v>
      </c>
    </row>
    <row r="126" spans="1:25" x14ac:dyDescent="0.25">
      <c r="A126">
        <v>60</v>
      </c>
      <c r="B126">
        <v>2</v>
      </c>
      <c r="C126" s="1">
        <v>1000000</v>
      </c>
      <c r="D126">
        <v>1</v>
      </c>
      <c r="E126">
        <v>0</v>
      </c>
      <c r="F126">
        <v>0.32500000000000001</v>
      </c>
      <c r="G126">
        <v>4.3250000000000002</v>
      </c>
      <c r="H126">
        <v>0.32500000000000001</v>
      </c>
      <c r="I126">
        <v>0</v>
      </c>
      <c r="J126">
        <v>5.2484912713534104</v>
      </c>
      <c r="K126">
        <v>5.2523267163535996</v>
      </c>
      <c r="L126">
        <v>11.5235583508035</v>
      </c>
      <c r="M126">
        <v>54.574993471966899</v>
      </c>
      <c r="N126">
        <v>5.7113377966173301E-2</v>
      </c>
      <c r="O126">
        <v>4.1887902044818803</v>
      </c>
      <c r="P126">
        <v>3.50570884198719</v>
      </c>
      <c r="Q126">
        <v>12.5448190731273</v>
      </c>
      <c r="R126">
        <v>12.5613243689978</v>
      </c>
      <c r="S126">
        <v>12.512583341359999</v>
      </c>
      <c r="T126">
        <v>12.546192928147599</v>
      </c>
      <c r="U126">
        <v>5.1945415874634998E-2</v>
      </c>
      <c r="V126">
        <v>1.9962919939587001</v>
      </c>
      <c r="W126">
        <v>2.0417800000000002</v>
      </c>
      <c r="X126">
        <v>64.8078900410258</v>
      </c>
      <c r="Y126">
        <v>1</v>
      </c>
    </row>
    <row r="127" spans="1:25" x14ac:dyDescent="0.25">
      <c r="A127">
        <v>60</v>
      </c>
      <c r="B127">
        <v>2</v>
      </c>
      <c r="C127" s="1">
        <v>1000000</v>
      </c>
      <c r="D127">
        <v>1</v>
      </c>
      <c r="E127">
        <v>0</v>
      </c>
      <c r="F127">
        <v>0.35</v>
      </c>
      <c r="G127">
        <v>4.3499999999999996</v>
      </c>
      <c r="H127">
        <v>0.35</v>
      </c>
      <c r="I127">
        <v>0</v>
      </c>
      <c r="J127">
        <v>1.07411647379553</v>
      </c>
      <c r="K127">
        <v>1.0742058672110499</v>
      </c>
      <c r="L127">
        <v>11.0541907028556</v>
      </c>
      <c r="M127">
        <v>54.813493630699597</v>
      </c>
      <c r="N127">
        <v>0.14466395428133599</v>
      </c>
      <c r="O127">
        <v>4.1887902047633796</v>
      </c>
      <c r="P127">
        <v>1.53019167719962</v>
      </c>
      <c r="Q127">
        <v>11.813581398542</v>
      </c>
      <c r="R127">
        <v>12.561323905992399</v>
      </c>
      <c r="S127">
        <v>11.096842556113399</v>
      </c>
      <c r="T127">
        <v>12.546191078358</v>
      </c>
      <c r="U127">
        <v>5.8390893446727002E-2</v>
      </c>
      <c r="V127">
        <v>1.8803948647302</v>
      </c>
      <c r="W127">
        <v>2</v>
      </c>
      <c r="X127">
        <v>98.603548654864497</v>
      </c>
      <c r="Y127">
        <v>1</v>
      </c>
    </row>
    <row r="128" spans="1:25" x14ac:dyDescent="0.25">
      <c r="A128">
        <v>60</v>
      </c>
      <c r="B128">
        <v>2</v>
      </c>
      <c r="C128" s="1">
        <v>1000000</v>
      </c>
      <c r="D128">
        <v>1</v>
      </c>
      <c r="E128">
        <v>0</v>
      </c>
      <c r="F128">
        <v>0.375</v>
      </c>
      <c r="G128">
        <v>4.375</v>
      </c>
      <c r="H128">
        <v>0.375</v>
      </c>
      <c r="I128">
        <v>0</v>
      </c>
      <c r="J128">
        <v>-0.92950069668135804</v>
      </c>
      <c r="K128">
        <v>-0.92952367656283497</v>
      </c>
      <c r="L128">
        <v>11.067641797128999</v>
      </c>
      <c r="M128">
        <v>55.437901185915102</v>
      </c>
      <c r="N128">
        <v>0.12825736414570499</v>
      </c>
      <c r="O128">
        <v>4.1887902048551702</v>
      </c>
      <c r="P128">
        <v>0.38590256184911098</v>
      </c>
      <c r="Q128">
        <v>11.1441546581729</v>
      </c>
      <c r="R128">
        <v>12.5613218921492</v>
      </c>
      <c r="S128">
        <v>9.8749060181550092</v>
      </c>
      <c r="T128">
        <v>12.546183032765599</v>
      </c>
      <c r="U128">
        <v>6.6940316433635197E-2</v>
      </c>
      <c r="V128">
        <v>1.7739225651658701</v>
      </c>
      <c r="W128">
        <v>2</v>
      </c>
      <c r="X128">
        <v>121.554919014361</v>
      </c>
      <c r="Y128">
        <v>1</v>
      </c>
    </row>
    <row r="129" spans="1:25" x14ac:dyDescent="0.25">
      <c r="A129">
        <v>60</v>
      </c>
      <c r="B129">
        <v>2</v>
      </c>
      <c r="C129" s="1">
        <v>1000000</v>
      </c>
      <c r="D129">
        <v>1</v>
      </c>
      <c r="E129">
        <v>0</v>
      </c>
      <c r="F129">
        <v>0.4</v>
      </c>
      <c r="G129">
        <v>4.4000000000000004</v>
      </c>
      <c r="H129">
        <v>0.4</v>
      </c>
      <c r="I129">
        <v>0</v>
      </c>
      <c r="J129">
        <v>-1.6334805516942901</v>
      </c>
      <c r="K129">
        <v>-1.6333118988370201</v>
      </c>
      <c r="L129">
        <v>11.279276898708501</v>
      </c>
      <c r="M129">
        <v>56.158083395656298</v>
      </c>
      <c r="N129">
        <v>0.198429034610348</v>
      </c>
      <c r="O129">
        <v>4.18879020477564</v>
      </c>
      <c r="P129">
        <v>-0.12664672676387501</v>
      </c>
      <c r="Q129">
        <v>10.554642759110701</v>
      </c>
      <c r="R129">
        <v>12.5613219941606</v>
      </c>
      <c r="S129">
        <v>8.8578094058962797</v>
      </c>
      <c r="T129">
        <v>12.5461834402661</v>
      </c>
      <c r="U129">
        <v>7.6250760510999493E-2</v>
      </c>
      <c r="V129">
        <v>1.67991539675777</v>
      </c>
      <c r="W129">
        <v>2</v>
      </c>
      <c r="X129">
        <v>135.52986997245199</v>
      </c>
      <c r="Y129">
        <v>1</v>
      </c>
    </row>
    <row r="130" spans="1:25" x14ac:dyDescent="0.25">
      <c r="A130">
        <v>60</v>
      </c>
      <c r="B130">
        <v>2</v>
      </c>
      <c r="C130" s="1">
        <v>1000000</v>
      </c>
      <c r="D130">
        <v>1</v>
      </c>
      <c r="E130">
        <v>0</v>
      </c>
      <c r="F130">
        <v>0.42499999999999999</v>
      </c>
      <c r="G130">
        <v>4.4249999999999998</v>
      </c>
      <c r="H130">
        <v>0.42499999999999999</v>
      </c>
      <c r="I130">
        <v>0</v>
      </c>
      <c r="J130">
        <v>-1.8189435864394601</v>
      </c>
      <c r="K130">
        <v>-1.8180703956587001</v>
      </c>
      <c r="L130">
        <v>11.5543890637089</v>
      </c>
      <c r="M130">
        <v>56.861984889984697</v>
      </c>
      <c r="N130">
        <v>0.135619120114368</v>
      </c>
      <c r="O130">
        <v>4.18879020477294</v>
      </c>
      <c r="P130">
        <v>-0.34204902721125402</v>
      </c>
      <c r="Q130">
        <v>10.030709975642001</v>
      </c>
      <c r="R130">
        <v>12.5613053538467</v>
      </c>
      <c r="S130">
        <v>8.0000915740972705</v>
      </c>
      <c r="T130">
        <v>12.5461169587199</v>
      </c>
      <c r="U130">
        <v>8.2626566324579806E-2</v>
      </c>
      <c r="V130">
        <v>1.5953660296216501</v>
      </c>
      <c r="W130">
        <v>2</v>
      </c>
      <c r="X130">
        <v>144.27487556591601</v>
      </c>
      <c r="Y130">
        <v>1</v>
      </c>
    </row>
    <row r="131" spans="1:25" x14ac:dyDescent="0.25">
      <c r="A131">
        <v>60</v>
      </c>
      <c r="B131">
        <v>2</v>
      </c>
      <c r="C131" s="1">
        <v>1000000</v>
      </c>
      <c r="D131">
        <v>1</v>
      </c>
      <c r="E131">
        <v>0</v>
      </c>
      <c r="F131">
        <v>0.45</v>
      </c>
      <c r="G131">
        <v>4.45</v>
      </c>
      <c r="H131">
        <v>0.45</v>
      </c>
      <c r="I131">
        <v>0</v>
      </c>
      <c r="J131">
        <v>-1.80807160747919</v>
      </c>
      <c r="K131">
        <v>-1.80784982123529</v>
      </c>
      <c r="L131">
        <v>11.8408278713089</v>
      </c>
      <c r="M131">
        <v>57.517312075193601</v>
      </c>
      <c r="N131">
        <v>0.14599843448930799</v>
      </c>
      <c r="O131">
        <v>4.1887902047082504</v>
      </c>
      <c r="P131">
        <v>-0.42445176777473498</v>
      </c>
      <c r="Q131">
        <v>9.5569741572982903</v>
      </c>
      <c r="R131">
        <v>12.5612973265284</v>
      </c>
      <c r="S131">
        <v>7.26224571286747</v>
      </c>
      <c r="T131">
        <v>12.5460848878812</v>
      </c>
      <c r="U131">
        <v>9.0204141055612794E-2</v>
      </c>
      <c r="V131">
        <v>1.52031663478404</v>
      </c>
      <c r="W131">
        <v>2</v>
      </c>
      <c r="X131">
        <v>149.90895718149599</v>
      </c>
      <c r="Y131">
        <v>1</v>
      </c>
    </row>
    <row r="132" spans="1:25" x14ac:dyDescent="0.25">
      <c r="A132">
        <v>60</v>
      </c>
      <c r="B132">
        <v>2</v>
      </c>
      <c r="C132" s="1">
        <v>1000000</v>
      </c>
      <c r="D132">
        <v>1</v>
      </c>
      <c r="E132">
        <v>0</v>
      </c>
      <c r="F132">
        <v>0.47499999999999998</v>
      </c>
      <c r="G132">
        <v>4.4749999999999996</v>
      </c>
      <c r="H132">
        <v>0.47499999999999998</v>
      </c>
      <c r="I132">
        <v>0</v>
      </c>
      <c r="J132">
        <v>-1.7278208990778201</v>
      </c>
      <c r="K132">
        <v>-1.72705491943467</v>
      </c>
      <c r="L132">
        <v>12.1192658706291</v>
      </c>
      <c r="M132">
        <v>58.117751992179301</v>
      </c>
      <c r="N132">
        <v>0.15100765626204299</v>
      </c>
      <c r="O132">
        <v>4.1887902046875602</v>
      </c>
      <c r="P132">
        <v>-0.44579083116239498</v>
      </c>
      <c r="Q132">
        <v>9.1233690736534196</v>
      </c>
      <c r="R132">
        <v>12.5612942069419</v>
      </c>
      <c r="S132">
        <v>6.6182085910246604</v>
      </c>
      <c r="T132">
        <v>12.546072424563</v>
      </c>
      <c r="U132">
        <v>9.7685398203501403E-2</v>
      </c>
      <c r="V132">
        <v>1.45141564530284</v>
      </c>
      <c r="W132">
        <v>2</v>
      </c>
      <c r="X132">
        <v>153.71305626793699</v>
      </c>
      <c r="Y132">
        <v>1</v>
      </c>
    </row>
    <row r="133" spans="1:25" x14ac:dyDescent="0.25">
      <c r="A133">
        <v>60</v>
      </c>
      <c r="B133">
        <v>2</v>
      </c>
      <c r="C133" s="1">
        <v>1000000</v>
      </c>
      <c r="D133">
        <v>1</v>
      </c>
      <c r="E133">
        <v>0</v>
      </c>
      <c r="F133">
        <v>0.5</v>
      </c>
      <c r="G133">
        <v>4.5</v>
      </c>
      <c r="H133">
        <v>0.5</v>
      </c>
      <c r="I133">
        <v>0</v>
      </c>
      <c r="J133">
        <v>-1.62357896321857</v>
      </c>
      <c r="K133">
        <v>-1.6226018409273899</v>
      </c>
      <c r="L133">
        <v>12.382738131886001</v>
      </c>
      <c r="M133">
        <v>58.6672561737713</v>
      </c>
      <c r="N133">
        <v>0.11131597526807099</v>
      </c>
      <c r="O133">
        <v>4.18879020466614</v>
      </c>
      <c r="P133">
        <v>-0.43715974078428099</v>
      </c>
      <c r="Q133">
        <v>8.7202848625279206</v>
      </c>
      <c r="R133">
        <v>12.5612918014196</v>
      </c>
      <c r="S133">
        <v>6.0461190282289303</v>
      </c>
      <c r="T133">
        <v>12.5460628142297</v>
      </c>
      <c r="U133">
        <v>0.103897405493848</v>
      </c>
      <c r="V133">
        <v>1.3862321056584199</v>
      </c>
      <c r="W133">
        <v>2</v>
      </c>
      <c r="X133">
        <v>156.35140142437299</v>
      </c>
      <c r="Y133">
        <v>1</v>
      </c>
    </row>
    <row r="134" spans="1:25" x14ac:dyDescent="0.25">
      <c r="A134">
        <v>60</v>
      </c>
      <c r="B134">
        <v>2</v>
      </c>
      <c r="C134" s="1">
        <v>1000000</v>
      </c>
      <c r="D134">
        <v>1</v>
      </c>
      <c r="E134">
        <v>0</v>
      </c>
      <c r="F134">
        <v>0.52500000000000002</v>
      </c>
      <c r="G134">
        <v>4.5250000000000004</v>
      </c>
      <c r="H134">
        <v>0.52500000000000002</v>
      </c>
      <c r="I134">
        <v>0</v>
      </c>
      <c r="J134">
        <v>-1.5146496597357999</v>
      </c>
      <c r="K134">
        <v>-1.5130936206646299</v>
      </c>
      <c r="L134">
        <v>12.629181157819099</v>
      </c>
      <c r="M134">
        <v>59.170878668035797</v>
      </c>
      <c r="N134">
        <v>0.206114058898272</v>
      </c>
      <c r="O134">
        <v>4.1887902047189902</v>
      </c>
      <c r="P134">
        <v>-0.41278705090260798</v>
      </c>
      <c r="Q134">
        <v>8.3411374244980099</v>
      </c>
      <c r="R134">
        <v>12.5612840109471</v>
      </c>
      <c r="S134">
        <v>5.5316916911076</v>
      </c>
      <c r="T134">
        <v>12.5460316900717</v>
      </c>
      <c r="U134">
        <v>0.110342690649836</v>
      </c>
      <c r="V134">
        <v>1.32637378523824</v>
      </c>
      <c r="W134">
        <v>2</v>
      </c>
      <c r="X134">
        <v>158.21246903984701</v>
      </c>
      <c r="Y134">
        <v>1</v>
      </c>
    </row>
    <row r="135" spans="1:25" x14ac:dyDescent="0.25">
      <c r="A135">
        <v>60</v>
      </c>
      <c r="B135">
        <v>2</v>
      </c>
      <c r="C135" s="1">
        <v>1000000</v>
      </c>
      <c r="D135">
        <v>1</v>
      </c>
      <c r="E135">
        <v>0</v>
      </c>
      <c r="F135">
        <v>0.55000000000000004</v>
      </c>
      <c r="G135">
        <v>4.55</v>
      </c>
      <c r="H135">
        <v>0.55000000000000004</v>
      </c>
      <c r="I135">
        <v>0</v>
      </c>
      <c r="J135">
        <v>-1.4082796875385499</v>
      </c>
      <c r="K135">
        <v>-1.4075402837427899</v>
      </c>
      <c r="L135">
        <v>12.8586831977074</v>
      </c>
      <c r="M135">
        <v>59.632828388375501</v>
      </c>
      <c r="N135">
        <v>0.20103110647813299</v>
      </c>
      <c r="O135">
        <v>4.18879020459977</v>
      </c>
      <c r="P135">
        <v>-0.381031852786402</v>
      </c>
      <c r="Q135">
        <v>7.9827036420590698</v>
      </c>
      <c r="R135">
        <v>12.5612852194532</v>
      </c>
      <c r="S135">
        <v>5.0668002453134502</v>
      </c>
      <c r="T135">
        <v>12.546036518587499</v>
      </c>
      <c r="U135">
        <v>0.119123132409356</v>
      </c>
      <c r="V135">
        <v>1.2703388932894799</v>
      </c>
      <c r="W135">
        <v>2</v>
      </c>
      <c r="X135">
        <v>159.50285488634901</v>
      </c>
      <c r="Y135">
        <v>1</v>
      </c>
    </row>
    <row r="136" spans="1:25" x14ac:dyDescent="0.25">
      <c r="A136">
        <v>60</v>
      </c>
      <c r="B136">
        <v>2</v>
      </c>
      <c r="C136" s="1">
        <v>1000000</v>
      </c>
      <c r="D136">
        <v>1</v>
      </c>
      <c r="E136">
        <v>0</v>
      </c>
      <c r="F136">
        <v>0.57499999999999996</v>
      </c>
      <c r="G136">
        <v>4.5750000000000002</v>
      </c>
      <c r="H136">
        <v>0.57499999999999996</v>
      </c>
      <c r="I136">
        <v>0</v>
      </c>
      <c r="J136">
        <v>-1.3095881510829299</v>
      </c>
      <c r="K136">
        <v>-1.30904785566779</v>
      </c>
      <c r="L136">
        <v>13.0721902324689</v>
      </c>
      <c r="M136">
        <v>60.058090018990796</v>
      </c>
      <c r="N136">
        <v>0.20298841045055099</v>
      </c>
      <c r="O136">
        <v>4.1887902046024497</v>
      </c>
      <c r="P136">
        <v>-0.34610059932981202</v>
      </c>
      <c r="Q136">
        <v>7.6417644648677898</v>
      </c>
      <c r="R136">
        <v>12.5612794327422</v>
      </c>
      <c r="S136">
        <v>4.6432398554812</v>
      </c>
      <c r="T136">
        <v>12.546013399887601</v>
      </c>
      <c r="U136">
        <v>0.12617500498015599</v>
      </c>
      <c r="V136">
        <v>1.2154330835409499</v>
      </c>
      <c r="W136">
        <v>2</v>
      </c>
      <c r="X136">
        <v>160.43041311852701</v>
      </c>
      <c r="Y136">
        <v>1</v>
      </c>
    </row>
    <row r="137" spans="1:25" x14ac:dyDescent="0.25">
      <c r="A137">
        <v>60</v>
      </c>
      <c r="B137">
        <v>2</v>
      </c>
      <c r="C137" s="1">
        <v>1000000</v>
      </c>
      <c r="D137">
        <v>1</v>
      </c>
      <c r="E137">
        <v>0</v>
      </c>
      <c r="F137">
        <v>0.6</v>
      </c>
      <c r="G137">
        <v>4.5999999999999996</v>
      </c>
      <c r="H137">
        <v>0.6</v>
      </c>
      <c r="I137">
        <v>0</v>
      </c>
      <c r="J137">
        <v>-1.2202787803569</v>
      </c>
      <c r="K137">
        <v>-1.2174413465476299</v>
      </c>
      <c r="L137">
        <v>13.2705867171486</v>
      </c>
      <c r="M137">
        <v>60.451154467982398</v>
      </c>
      <c r="N137">
        <v>0.26558435598051</v>
      </c>
      <c r="O137">
        <v>4.1887902027286099</v>
      </c>
      <c r="P137">
        <v>-0.309105339127902</v>
      </c>
      <c r="Q137">
        <v>7.31443187427395</v>
      </c>
      <c r="R137">
        <v>12.5612883345888</v>
      </c>
      <c r="S137">
        <v>4.2539729896578899</v>
      </c>
      <c r="T137">
        <v>12.5460489635509</v>
      </c>
      <c r="U137">
        <v>0.13210490228097299</v>
      </c>
      <c r="V137">
        <v>1.16349442288549</v>
      </c>
      <c r="W137">
        <v>2</v>
      </c>
      <c r="X137">
        <v>161.04276777531601</v>
      </c>
      <c r="Y137">
        <v>1</v>
      </c>
    </row>
    <row r="138" spans="1:25" x14ac:dyDescent="0.25">
      <c r="A138">
        <v>60</v>
      </c>
      <c r="B138">
        <v>2</v>
      </c>
      <c r="C138" s="1">
        <v>1000000</v>
      </c>
      <c r="D138">
        <v>1</v>
      </c>
      <c r="E138">
        <v>0</v>
      </c>
      <c r="F138">
        <v>0.625</v>
      </c>
      <c r="G138">
        <v>4.625</v>
      </c>
      <c r="H138">
        <v>0.625</v>
      </c>
      <c r="I138">
        <v>0</v>
      </c>
      <c r="J138">
        <v>-1.13324064132581</v>
      </c>
      <c r="K138">
        <v>-1.1322420715552</v>
      </c>
      <c r="L138">
        <v>13.455245486143699</v>
      </c>
      <c r="M138">
        <v>60.817202621592003</v>
      </c>
      <c r="N138">
        <v>0.30587877886003501</v>
      </c>
      <c r="O138">
        <v>4.1887902045808998</v>
      </c>
      <c r="P138">
        <v>-0.27129841182734599</v>
      </c>
      <c r="Q138">
        <v>6.9956373087649597</v>
      </c>
      <c r="R138">
        <v>12.5612946287961</v>
      </c>
      <c r="S138">
        <v>3.8912395985030699</v>
      </c>
      <c r="T138">
        <v>12.5460741103789</v>
      </c>
      <c r="U138">
        <v>0.13498965373650201</v>
      </c>
      <c r="V138">
        <v>1.11256930104995</v>
      </c>
      <c r="W138">
        <v>2</v>
      </c>
      <c r="X138">
        <v>161.35808298864501</v>
      </c>
      <c r="Y138">
        <v>1</v>
      </c>
    </row>
    <row r="139" spans="1:25" x14ac:dyDescent="0.25">
      <c r="A139">
        <v>60</v>
      </c>
      <c r="B139">
        <v>2</v>
      </c>
      <c r="C139" s="1">
        <v>1000000</v>
      </c>
      <c r="D139">
        <v>1</v>
      </c>
      <c r="E139">
        <v>0</v>
      </c>
      <c r="F139">
        <v>0.65</v>
      </c>
      <c r="G139">
        <v>4.6500000000000004</v>
      </c>
      <c r="H139">
        <v>0.65</v>
      </c>
      <c r="I139">
        <v>0</v>
      </c>
      <c r="J139">
        <v>-1.05493284981271</v>
      </c>
      <c r="K139">
        <v>-1.0544436113250799</v>
      </c>
      <c r="L139">
        <v>13.6270762039993</v>
      </c>
      <c r="M139">
        <v>61.155587794230598</v>
      </c>
      <c r="N139">
        <v>0.28851254882199001</v>
      </c>
      <c r="O139">
        <v>4.1887902044217498</v>
      </c>
      <c r="P139">
        <v>-0.233827451640853</v>
      </c>
      <c r="Q139">
        <v>6.6894993521292099</v>
      </c>
      <c r="R139">
        <v>12.561295490075899</v>
      </c>
      <c r="S139">
        <v>3.5581289645221199</v>
      </c>
      <c r="T139">
        <v>12.546077551461</v>
      </c>
      <c r="U139">
        <v>0.13659576683830901</v>
      </c>
      <c r="V139">
        <v>1.0642259953520301</v>
      </c>
      <c r="W139">
        <v>2</v>
      </c>
      <c r="X139">
        <v>161.543063864083</v>
      </c>
      <c r="Y139">
        <v>1</v>
      </c>
    </row>
    <row r="140" spans="1:25" x14ac:dyDescent="0.25">
      <c r="A140">
        <v>60</v>
      </c>
      <c r="B140">
        <v>2</v>
      </c>
      <c r="C140" s="1">
        <v>1000000</v>
      </c>
      <c r="D140">
        <v>1</v>
      </c>
      <c r="E140">
        <v>0</v>
      </c>
      <c r="F140">
        <v>0.67500000000000004</v>
      </c>
      <c r="G140">
        <v>4.6749999999999998</v>
      </c>
      <c r="H140">
        <v>0.67500000000000004</v>
      </c>
      <c r="I140">
        <v>0</v>
      </c>
      <c r="J140">
        <v>-0.98245422300192697</v>
      </c>
      <c r="K140">
        <v>-0.98183163582619304</v>
      </c>
      <c r="L140">
        <v>13.7870623479918</v>
      </c>
      <c r="M140">
        <v>61.472460110881698</v>
      </c>
      <c r="N140">
        <v>0.32715954390094398</v>
      </c>
      <c r="O140">
        <v>4.1887902046298997</v>
      </c>
      <c r="P140">
        <v>-0.196359959856824</v>
      </c>
      <c r="Q140">
        <v>6.3877587005102496</v>
      </c>
      <c r="R140">
        <v>12.561301267973301</v>
      </c>
      <c r="S140">
        <v>3.2443925988007001</v>
      </c>
      <c r="T140">
        <v>12.546100635342601</v>
      </c>
      <c r="U140">
        <v>0.137492101646497</v>
      </c>
      <c r="V140">
        <v>1.01621846456406</v>
      </c>
      <c r="W140">
        <v>2</v>
      </c>
      <c r="X140">
        <v>161.561037483983</v>
      </c>
      <c r="Y140">
        <v>1</v>
      </c>
    </row>
    <row r="141" spans="1:25" x14ac:dyDescent="0.25">
      <c r="A141">
        <v>60</v>
      </c>
      <c r="B141">
        <v>2</v>
      </c>
      <c r="C141" s="1">
        <v>1000000</v>
      </c>
      <c r="D141">
        <v>1</v>
      </c>
      <c r="E141">
        <v>0</v>
      </c>
      <c r="F141">
        <v>0.7</v>
      </c>
      <c r="G141">
        <v>4.7</v>
      </c>
      <c r="H141">
        <v>0.7</v>
      </c>
      <c r="I141">
        <v>0</v>
      </c>
      <c r="J141">
        <v>-0.91499664471186104</v>
      </c>
      <c r="K141">
        <v>-0.914096236789815</v>
      </c>
      <c r="L141">
        <v>13.936037013866599</v>
      </c>
      <c r="M141">
        <v>61.769135661232902</v>
      </c>
      <c r="N141">
        <v>0.36301838554402899</v>
      </c>
      <c r="O141">
        <v>4.18879020438151</v>
      </c>
      <c r="P141">
        <v>-0.159143319429041</v>
      </c>
      <c r="Q141">
        <v>6.0900307012924397</v>
      </c>
      <c r="R141">
        <v>12.5613043518655</v>
      </c>
      <c r="S141">
        <v>2.9490069007185902</v>
      </c>
      <c r="T141">
        <v>12.5461129561098</v>
      </c>
      <c r="U141">
        <v>0.13719415029750501</v>
      </c>
      <c r="V141">
        <v>0.96876664901783804</v>
      </c>
      <c r="W141">
        <v>2</v>
      </c>
      <c r="X141">
        <v>161.42761108490399</v>
      </c>
      <c r="Y141">
        <v>1</v>
      </c>
    </row>
    <row r="142" spans="1:25" x14ac:dyDescent="0.25">
      <c r="A142">
        <v>60</v>
      </c>
      <c r="B142">
        <v>2</v>
      </c>
      <c r="C142" s="1">
        <v>1000000</v>
      </c>
      <c r="D142">
        <v>1</v>
      </c>
      <c r="E142">
        <v>0</v>
      </c>
      <c r="F142">
        <v>0.72499999999999998</v>
      </c>
      <c r="G142">
        <v>4.7249999999999996</v>
      </c>
      <c r="H142">
        <v>0.72499999999999998</v>
      </c>
      <c r="I142">
        <v>0</v>
      </c>
      <c r="J142">
        <v>-0.85201327143291805</v>
      </c>
      <c r="K142">
        <v>-0.851008466648289</v>
      </c>
      <c r="L142">
        <v>14.074748237232299</v>
      </c>
      <c r="M142">
        <v>62.046496836286302</v>
      </c>
      <c r="N142">
        <v>0.31553225707448801</v>
      </c>
      <c r="O142">
        <v>4.1887902044398704</v>
      </c>
      <c r="P142">
        <v>-0.12239140951488001</v>
      </c>
      <c r="Q142">
        <v>5.7966526882551497</v>
      </c>
      <c r="R142">
        <v>12.5613064645405</v>
      </c>
      <c r="S142">
        <v>2.6717186302678102</v>
      </c>
      <c r="T142">
        <v>12.5461213966631</v>
      </c>
      <c r="U142">
        <v>0.13866654186601801</v>
      </c>
      <c r="V142">
        <v>0.92192341496646701</v>
      </c>
      <c r="W142">
        <v>2</v>
      </c>
      <c r="X142">
        <v>161.197309438611</v>
      </c>
      <c r="Y142">
        <v>1</v>
      </c>
    </row>
    <row r="143" spans="1:25" x14ac:dyDescent="0.25">
      <c r="A143">
        <v>60</v>
      </c>
      <c r="B143">
        <v>2</v>
      </c>
      <c r="C143" s="1">
        <v>1000000</v>
      </c>
      <c r="D143">
        <v>1</v>
      </c>
      <c r="E143">
        <v>0</v>
      </c>
      <c r="F143">
        <v>0.75</v>
      </c>
      <c r="G143">
        <v>4.75</v>
      </c>
      <c r="H143">
        <v>0.75</v>
      </c>
      <c r="I143">
        <v>0</v>
      </c>
      <c r="J143">
        <v>-0.79275096803071898</v>
      </c>
      <c r="K143">
        <v>-0.79106981445939695</v>
      </c>
      <c r="L143">
        <v>14.203856091236201</v>
      </c>
      <c r="M143">
        <v>62.3080909910393</v>
      </c>
      <c r="N143">
        <v>0.38897272714000097</v>
      </c>
      <c r="O143">
        <v>4.1887902047409096</v>
      </c>
      <c r="P143">
        <v>-8.5511914072924994E-2</v>
      </c>
      <c r="Q143">
        <v>5.5017218604738902</v>
      </c>
      <c r="R143">
        <v>12.5613107677984</v>
      </c>
      <c r="S143">
        <v>2.4067680120278299</v>
      </c>
      <c r="T143">
        <v>12.546138588964601</v>
      </c>
      <c r="U143">
        <v>0.139648836310622</v>
      </c>
      <c r="V143">
        <v>0.87516923166385796</v>
      </c>
      <c r="W143">
        <v>2</v>
      </c>
      <c r="X143">
        <v>160.84701057407099</v>
      </c>
      <c r="Y143">
        <v>1</v>
      </c>
    </row>
    <row r="144" spans="1:25" x14ac:dyDescent="0.25">
      <c r="A144">
        <v>60</v>
      </c>
      <c r="B144">
        <v>2</v>
      </c>
      <c r="C144" s="1">
        <v>1000000</v>
      </c>
      <c r="D144">
        <v>1</v>
      </c>
      <c r="E144">
        <v>0</v>
      </c>
      <c r="F144">
        <v>0.77500000000000002</v>
      </c>
      <c r="G144">
        <v>4.7750000000000004</v>
      </c>
      <c r="H144">
        <v>0.77500000000000002</v>
      </c>
      <c r="I144">
        <v>0</v>
      </c>
      <c r="J144">
        <v>-0.73608496555079705</v>
      </c>
      <c r="K144">
        <v>-0.73391459827036698</v>
      </c>
      <c r="L144">
        <v>14.323901866628001</v>
      </c>
      <c r="M144">
        <v>62.554779610786497</v>
      </c>
      <c r="N144">
        <v>0.423379884746096</v>
      </c>
      <c r="O144">
        <v>4.18879020430232</v>
      </c>
      <c r="P144">
        <v>-4.8448086839235897E-2</v>
      </c>
      <c r="Q144">
        <v>5.2042204564510399</v>
      </c>
      <c r="R144">
        <v>12.5613167974502</v>
      </c>
      <c r="S144">
        <v>2.15352772838976</v>
      </c>
      <c r="T144">
        <v>12.5461626784895</v>
      </c>
      <c r="U144">
        <v>0.1340856405178</v>
      </c>
      <c r="V144">
        <v>0.82829273730089503</v>
      </c>
      <c r="W144">
        <v>2</v>
      </c>
      <c r="X144">
        <v>160.43276073329901</v>
      </c>
      <c r="Y144">
        <v>1</v>
      </c>
    </row>
    <row r="145" spans="1:25" x14ac:dyDescent="0.25">
      <c r="A145">
        <v>60</v>
      </c>
      <c r="B145">
        <v>2</v>
      </c>
      <c r="C145" s="1">
        <v>1000000</v>
      </c>
      <c r="D145">
        <v>1</v>
      </c>
      <c r="E145">
        <v>0</v>
      </c>
      <c r="F145">
        <v>0.8</v>
      </c>
      <c r="G145">
        <v>4.8</v>
      </c>
      <c r="H145">
        <v>0.8</v>
      </c>
      <c r="I145">
        <v>0</v>
      </c>
      <c r="J145">
        <v>-0.68216487770944201</v>
      </c>
      <c r="K145">
        <v>-0.67979579381338995</v>
      </c>
      <c r="L145">
        <v>14.435310797635401</v>
      </c>
      <c r="M145">
        <v>62.785750307368502</v>
      </c>
      <c r="N145">
        <v>0.323507961428114</v>
      </c>
      <c r="O145">
        <v>4.18879020494433</v>
      </c>
      <c r="P145">
        <v>-1.14213847998079E-2</v>
      </c>
      <c r="Q145">
        <v>4.9068048882937303</v>
      </c>
      <c r="R145">
        <v>12.5613197487273</v>
      </c>
      <c r="S145">
        <v>1.9144139942740099</v>
      </c>
      <c r="T145">
        <v>12.5461744693499</v>
      </c>
      <c r="U145">
        <v>0.13575211063109499</v>
      </c>
      <c r="V145">
        <v>0.780828717221005</v>
      </c>
      <c r="W145">
        <v>2</v>
      </c>
      <c r="X145">
        <v>159.92121544835999</v>
      </c>
      <c r="Y145">
        <v>1</v>
      </c>
    </row>
    <row r="146" spans="1:25" x14ac:dyDescent="0.25">
      <c r="A146">
        <v>60</v>
      </c>
      <c r="B146">
        <v>2</v>
      </c>
      <c r="C146" s="1">
        <v>1000000</v>
      </c>
      <c r="D146">
        <v>1</v>
      </c>
      <c r="E146">
        <v>0</v>
      </c>
      <c r="F146">
        <v>0.82499999999999996</v>
      </c>
      <c r="G146">
        <v>4.8250000000000002</v>
      </c>
      <c r="H146">
        <v>0.82499999999999996</v>
      </c>
      <c r="I146">
        <v>0</v>
      </c>
      <c r="J146">
        <v>-0.63010163189975898</v>
      </c>
      <c r="K146">
        <v>-0.62736328270181496</v>
      </c>
      <c r="L146">
        <v>14.5383759193363</v>
      </c>
      <c r="M146">
        <v>63.003792034007098</v>
      </c>
      <c r="N146">
        <v>0.34243490350662997</v>
      </c>
      <c r="O146">
        <v>4.1887902051395898</v>
      </c>
      <c r="P146">
        <v>2.6247457884822401E-2</v>
      </c>
      <c r="Q146">
        <v>4.6026970405082297</v>
      </c>
      <c r="R146">
        <v>12.5613212603263</v>
      </c>
      <c r="S146">
        <v>1.6844603794239199</v>
      </c>
      <c r="T146">
        <v>12.546180508448399</v>
      </c>
      <c r="U146">
        <v>0.13975011662207601</v>
      </c>
      <c r="V146">
        <v>0.73200710127805901</v>
      </c>
      <c r="W146">
        <v>2</v>
      </c>
      <c r="X146">
        <v>159.34397307012901</v>
      </c>
      <c r="Y146">
        <v>1</v>
      </c>
    </row>
    <row r="147" spans="1:25" x14ac:dyDescent="0.25">
      <c r="A147">
        <v>60</v>
      </c>
      <c r="B147">
        <v>2</v>
      </c>
      <c r="C147" s="1">
        <v>1000000</v>
      </c>
      <c r="D147">
        <v>1</v>
      </c>
      <c r="E147">
        <v>0</v>
      </c>
      <c r="F147">
        <v>0.85</v>
      </c>
      <c r="G147">
        <v>4.8499999999999996</v>
      </c>
      <c r="H147">
        <v>0.85</v>
      </c>
      <c r="I147">
        <v>0</v>
      </c>
      <c r="J147">
        <v>-0.57864189605816696</v>
      </c>
      <c r="K147">
        <v>-0.57740322500559704</v>
      </c>
      <c r="L147">
        <v>14.633165729929701</v>
      </c>
      <c r="M147">
        <v>63.206243049008101</v>
      </c>
      <c r="N147">
        <v>0.62253782154753101</v>
      </c>
      <c r="O147">
        <v>4.1887902055170096</v>
      </c>
      <c r="P147">
        <v>6.4504417400206598E-2</v>
      </c>
      <c r="Q147">
        <v>4.2986006724588099</v>
      </c>
      <c r="R147">
        <v>12.561323245534901</v>
      </c>
      <c r="S147">
        <v>1.4691385058633999</v>
      </c>
      <c r="T147">
        <v>12.546188439705899</v>
      </c>
      <c r="U147">
        <v>-2.8966606065804399E-2</v>
      </c>
      <c r="V147">
        <v>0.68413317752851699</v>
      </c>
      <c r="W147">
        <v>2</v>
      </c>
      <c r="X147">
        <v>158.69707608506201</v>
      </c>
      <c r="Y147">
        <v>1</v>
      </c>
    </row>
    <row r="148" spans="1:25" x14ac:dyDescent="0.25">
      <c r="A148">
        <v>60</v>
      </c>
      <c r="B148">
        <v>2</v>
      </c>
      <c r="C148" s="1">
        <v>1000000</v>
      </c>
      <c r="D148">
        <v>1</v>
      </c>
      <c r="E148">
        <v>0</v>
      </c>
      <c r="F148">
        <v>0.875</v>
      </c>
      <c r="G148">
        <v>4.875</v>
      </c>
      <c r="H148">
        <v>0.875</v>
      </c>
      <c r="I148">
        <v>0</v>
      </c>
      <c r="J148">
        <v>-0.52792448499898603</v>
      </c>
      <c r="K148">
        <v>-0.527759181321239</v>
      </c>
      <c r="L148">
        <v>14.7200865946121</v>
      </c>
      <c r="M148">
        <v>63.398100339931801</v>
      </c>
      <c r="N148">
        <v>0.36300134264807898</v>
      </c>
      <c r="O148">
        <v>4.1887902060619799</v>
      </c>
      <c r="P148">
        <v>0.103686408618887</v>
      </c>
      <c r="Q148">
        <v>3.9797656447556</v>
      </c>
      <c r="R148">
        <v>12.561324281084399</v>
      </c>
      <c r="S148">
        <v>1.25927223634578</v>
      </c>
      <c r="T148">
        <v>12.5461925769144</v>
      </c>
      <c r="U148">
        <v>-1.37645565503742E-2</v>
      </c>
      <c r="V148">
        <v>0.63264642417755501</v>
      </c>
      <c r="W148">
        <v>2</v>
      </c>
      <c r="X148">
        <v>158.02940768663001</v>
      </c>
      <c r="Y148">
        <v>1</v>
      </c>
    </row>
    <row r="149" spans="1:25" x14ac:dyDescent="0.25">
      <c r="A149">
        <v>60</v>
      </c>
      <c r="B149">
        <v>2</v>
      </c>
      <c r="C149" s="1">
        <v>1000000</v>
      </c>
      <c r="D149">
        <v>1</v>
      </c>
      <c r="E149">
        <v>0</v>
      </c>
      <c r="F149">
        <v>0.9</v>
      </c>
      <c r="G149">
        <v>4.9000000000000004</v>
      </c>
      <c r="H149">
        <v>0.9</v>
      </c>
      <c r="I149">
        <v>0</v>
      </c>
      <c r="J149">
        <v>-0.47468287831252698</v>
      </c>
      <c r="K149">
        <v>-0.47418462548533502</v>
      </c>
      <c r="L149">
        <v>14.798837692137999</v>
      </c>
      <c r="M149">
        <v>63.586148098646099</v>
      </c>
      <c r="N149">
        <v>0.34659959287953801</v>
      </c>
      <c r="O149">
        <v>4.1887902054253896</v>
      </c>
      <c r="P149">
        <v>0.147740660905466</v>
      </c>
      <c r="Q149">
        <v>3.61783533372417</v>
      </c>
      <c r="R149">
        <v>12.561324556557601</v>
      </c>
      <c r="S149">
        <v>1.04065754838171</v>
      </c>
      <c r="T149">
        <v>12.5461936774813</v>
      </c>
      <c r="U149">
        <v>-2.3326681608486699E-3</v>
      </c>
      <c r="V149">
        <v>0.57542586549104602</v>
      </c>
      <c r="W149">
        <v>2</v>
      </c>
      <c r="X149">
        <v>157.09548669634799</v>
      </c>
      <c r="Y149">
        <v>1</v>
      </c>
    </row>
    <row r="150" spans="1:25" x14ac:dyDescent="0.25">
      <c r="A150">
        <v>60</v>
      </c>
      <c r="B150">
        <v>2</v>
      </c>
      <c r="C150" s="1">
        <v>1000000</v>
      </c>
      <c r="D150">
        <v>1</v>
      </c>
      <c r="E150">
        <v>0</v>
      </c>
      <c r="F150">
        <v>0.92500000000000004</v>
      </c>
      <c r="G150">
        <v>4.9249999999999998</v>
      </c>
      <c r="H150">
        <v>0.92500000000000004</v>
      </c>
      <c r="I150">
        <v>0</v>
      </c>
      <c r="J150">
        <v>-0.41335828487832899</v>
      </c>
      <c r="K150">
        <v>-0.41168788008463397</v>
      </c>
      <c r="L150">
        <v>14.8690474029301</v>
      </c>
      <c r="M150">
        <v>63.776261919390898</v>
      </c>
      <c r="N150">
        <v>0.31674504088693001</v>
      </c>
      <c r="O150">
        <v>4.1887902046472396</v>
      </c>
      <c r="P150">
        <v>0.20197354895353201</v>
      </c>
      <c r="Q150">
        <v>3.17364837678099</v>
      </c>
      <c r="R150">
        <v>12.561324375591999</v>
      </c>
      <c r="S150">
        <v>0.80084188507832299</v>
      </c>
      <c r="T150">
        <v>12.546192954486701</v>
      </c>
      <c r="U150">
        <v>-0.12758913300017799</v>
      </c>
      <c r="V150">
        <v>0.505181801306541</v>
      </c>
      <c r="W150">
        <v>2</v>
      </c>
      <c r="X150">
        <v>155.81089298343099</v>
      </c>
      <c r="Y150">
        <v>1</v>
      </c>
    </row>
    <row r="151" spans="1:25" x14ac:dyDescent="0.25">
      <c r="A151">
        <v>60</v>
      </c>
      <c r="B151">
        <v>2</v>
      </c>
      <c r="C151" s="1">
        <v>1000000</v>
      </c>
      <c r="D151">
        <v>1</v>
      </c>
      <c r="E151">
        <v>0</v>
      </c>
      <c r="F151">
        <v>0.95</v>
      </c>
      <c r="G151">
        <v>4.95</v>
      </c>
      <c r="H151">
        <v>0.95</v>
      </c>
      <c r="I151">
        <v>0</v>
      </c>
      <c r="J151">
        <v>-0.33595068222276597</v>
      </c>
      <c r="K151">
        <v>-0.33502711759837001</v>
      </c>
      <c r="L151">
        <v>14.9284436759774</v>
      </c>
      <c r="M151">
        <v>63.967612864398703</v>
      </c>
      <c r="N151">
        <v>0.33718599242478797</v>
      </c>
      <c r="O151">
        <v>4.1887902050449703</v>
      </c>
      <c r="P151">
        <v>0.27080110009911001</v>
      </c>
      <c r="Q151">
        <v>2.59857498026971</v>
      </c>
      <c r="R151">
        <v>12.561323703728901</v>
      </c>
      <c r="S151">
        <v>0.53690507054144199</v>
      </c>
      <c r="T151">
        <v>12.546190270245599</v>
      </c>
      <c r="U151">
        <v>-0.111045846286511</v>
      </c>
      <c r="V151">
        <v>0.41349824235381999</v>
      </c>
      <c r="W151">
        <v>2</v>
      </c>
      <c r="X151">
        <v>154.10588442149901</v>
      </c>
      <c r="Y151">
        <v>1</v>
      </c>
    </row>
    <row r="152" spans="1:25" x14ac:dyDescent="0.25">
      <c r="A152">
        <v>60</v>
      </c>
      <c r="B152">
        <v>2</v>
      </c>
      <c r="C152" s="1">
        <v>1000000</v>
      </c>
      <c r="D152">
        <v>1</v>
      </c>
      <c r="E152">
        <v>0</v>
      </c>
      <c r="F152">
        <v>0.97499999999999998</v>
      </c>
      <c r="G152">
        <v>4.9749999999999996</v>
      </c>
      <c r="H152">
        <v>0.97499999999999998</v>
      </c>
      <c r="I152">
        <v>0</v>
      </c>
      <c r="J152">
        <v>-8.7993896278296499E-2</v>
      </c>
      <c r="K152">
        <v>-5.8850590092316703E-4</v>
      </c>
      <c r="L152">
        <v>14.8979822460579</v>
      </c>
      <c r="M152">
        <v>64.205508557484194</v>
      </c>
      <c r="N152">
        <v>2.2672176038110201E-4</v>
      </c>
      <c r="O152">
        <v>4.1887902047863301</v>
      </c>
      <c r="P152">
        <v>0.47583511410551199</v>
      </c>
      <c r="Q152">
        <v>4.2704971933476398E-3</v>
      </c>
      <c r="R152">
        <v>12.561323947249299</v>
      </c>
      <c r="S152" s="1">
        <v>1.4026420927961899E-6</v>
      </c>
      <c r="T152">
        <v>12.5461912431544</v>
      </c>
      <c r="U152">
        <v>-4.1051944360437596E-3</v>
      </c>
      <c r="V152">
        <v>6.4827285784155699E-4</v>
      </c>
      <c r="W152">
        <v>2</v>
      </c>
      <c r="X152">
        <v>148.71528037247299</v>
      </c>
      <c r="Y152">
        <v>1</v>
      </c>
    </row>
    <row r="153" spans="1:25" x14ac:dyDescent="0.25">
      <c r="A153">
        <v>60</v>
      </c>
      <c r="B153">
        <v>2</v>
      </c>
      <c r="C153" s="1">
        <v>1000000</v>
      </c>
      <c r="D153">
        <v>1</v>
      </c>
      <c r="E153">
        <v>0</v>
      </c>
      <c r="F153">
        <v>1</v>
      </c>
      <c r="G153">
        <v>5</v>
      </c>
      <c r="H153">
        <v>1</v>
      </c>
      <c r="I153">
        <v>0</v>
      </c>
      <c r="J153">
        <v>-3.7091203914480099E-2</v>
      </c>
      <c r="K153">
        <v>-5.5145749749128795E-4</v>
      </c>
      <c r="L153">
        <v>14.9003989527636</v>
      </c>
      <c r="M153">
        <v>64.207842376935005</v>
      </c>
      <c r="N153">
        <v>2.4896133172108101E-4</v>
      </c>
      <c r="O153">
        <v>4.1887902047863497</v>
      </c>
      <c r="P153">
        <v>0.48062078156809501</v>
      </c>
      <c r="Q153">
        <v>4.0015858575404703E-3</v>
      </c>
      <c r="R153">
        <v>12.561324522490301</v>
      </c>
      <c r="S153" s="1">
        <v>1.1763167657009401E-6</v>
      </c>
      <c r="T153">
        <v>12.546193541374899</v>
      </c>
      <c r="U153">
        <v>-1.8235414839706801E-3</v>
      </c>
      <c r="V153">
        <v>5.7881946472403698E-4</v>
      </c>
      <c r="W153">
        <v>2</v>
      </c>
      <c r="X153">
        <v>148.60672390567601</v>
      </c>
      <c r="Y153">
        <v>1</v>
      </c>
    </row>
    <row r="154" spans="1:25" x14ac:dyDescent="0.25">
      <c r="A154">
        <v>60</v>
      </c>
      <c r="B154">
        <v>2</v>
      </c>
      <c r="C154" s="1">
        <v>1000000</v>
      </c>
      <c r="D154">
        <v>1</v>
      </c>
      <c r="E154">
        <v>0</v>
      </c>
      <c r="F154">
        <v>1.0249999999999999</v>
      </c>
      <c r="G154">
        <v>5.0250000000000004</v>
      </c>
      <c r="H154">
        <v>1.0249999999999999</v>
      </c>
      <c r="I154">
        <v>0</v>
      </c>
      <c r="J154">
        <v>-0.117387449942842</v>
      </c>
      <c r="K154">
        <v>-4.33035390496986E-4</v>
      </c>
      <c r="L154">
        <v>14.9008670225434</v>
      </c>
      <c r="M154">
        <v>64.208238043506398</v>
      </c>
      <c r="N154" s="1">
        <v>9.86078684444356E-5</v>
      </c>
      <c r="O154">
        <v>4.1887902047863301</v>
      </c>
      <c r="P154">
        <v>0.48170662755007598</v>
      </c>
      <c r="Q154">
        <v>3.1420920589896898E-3</v>
      </c>
      <c r="R154">
        <v>12.561324571827001</v>
      </c>
      <c r="S154" s="1">
        <v>6.0190381117929196E-7</v>
      </c>
      <c r="T154">
        <v>12.546193738485099</v>
      </c>
      <c r="U154">
        <v>-8.13644763538845E-3</v>
      </c>
      <c r="V154">
        <v>3.6520519018283499E-4</v>
      </c>
      <c r="W154">
        <v>2</v>
      </c>
      <c r="X154">
        <v>148.48928852429</v>
      </c>
      <c r="Y154">
        <v>1</v>
      </c>
    </row>
    <row r="155" spans="1:25" x14ac:dyDescent="0.25">
      <c r="A155">
        <v>60</v>
      </c>
      <c r="B155">
        <v>2</v>
      </c>
      <c r="C155" s="1">
        <v>1000000</v>
      </c>
      <c r="D155">
        <v>1</v>
      </c>
      <c r="E155">
        <v>0</v>
      </c>
      <c r="F155">
        <v>1.05</v>
      </c>
      <c r="G155">
        <v>5.05</v>
      </c>
      <c r="H155">
        <v>1.05</v>
      </c>
      <c r="I155">
        <v>0</v>
      </c>
      <c r="J155">
        <v>-9.2708205178988604E-2</v>
      </c>
      <c r="K155">
        <v>-7.4654721832705495E-2</v>
      </c>
      <c r="L155">
        <v>14.935145123667899</v>
      </c>
      <c r="M155">
        <v>64.242392297149095</v>
      </c>
      <c r="N155" s="1">
        <v>7.9839367048088096E-5</v>
      </c>
      <c r="O155">
        <v>4.1887902047863399</v>
      </c>
      <c r="P155">
        <v>0.44620423138463999</v>
      </c>
      <c r="Q155">
        <v>0.54162298125962804</v>
      </c>
      <c r="R155">
        <v>12.5613246073881</v>
      </c>
      <c r="S155" s="1">
        <v>-2.2837718282593999E-5</v>
      </c>
      <c r="T155">
        <v>12.5461938805584</v>
      </c>
      <c r="U155">
        <v>-2.8101266490943699E-2</v>
      </c>
      <c r="V155" s="1">
        <v>5.7505446269585799E-5</v>
      </c>
      <c r="W155">
        <v>2</v>
      </c>
      <c r="X155">
        <v>149.69805139125299</v>
      </c>
      <c r="Y155">
        <v>1</v>
      </c>
    </row>
    <row r="156" spans="1:25" x14ac:dyDescent="0.25">
      <c r="A156">
        <v>60</v>
      </c>
      <c r="B156">
        <v>2</v>
      </c>
      <c r="C156" s="1">
        <v>1000000</v>
      </c>
      <c r="D156">
        <v>1</v>
      </c>
      <c r="E156">
        <v>0</v>
      </c>
      <c r="F156">
        <v>1.075</v>
      </c>
      <c r="G156">
        <v>5.0750000000000002</v>
      </c>
      <c r="H156">
        <v>1.075</v>
      </c>
      <c r="I156">
        <v>0</v>
      </c>
      <c r="J156">
        <v>-0.22520755773909101</v>
      </c>
      <c r="K156">
        <v>-3.3150610535114498E-2</v>
      </c>
      <c r="L156">
        <v>14.968483361551</v>
      </c>
      <c r="M156">
        <v>64.275462512078605</v>
      </c>
      <c r="N156" s="1">
        <v>9.4733571789284E-5</v>
      </c>
      <c r="O156">
        <v>4.1887902047863497</v>
      </c>
      <c r="P156">
        <v>0.42291354493194</v>
      </c>
      <c r="Q156">
        <v>0.24051444807330799</v>
      </c>
      <c r="R156">
        <v>12.5613246195004</v>
      </c>
      <c r="S156" s="1">
        <v>4.56288089497101E-7</v>
      </c>
      <c r="T156">
        <v>12.546193928949499</v>
      </c>
      <c r="U156">
        <v>-4.1856061297514097E-2</v>
      </c>
      <c r="V156">
        <v>1.2134382160415E-4</v>
      </c>
      <c r="W156">
        <v>2</v>
      </c>
      <c r="X156">
        <v>150.44215984356001</v>
      </c>
      <c r="Y156">
        <v>1</v>
      </c>
    </row>
    <row r="157" spans="1:25" x14ac:dyDescent="0.25">
      <c r="A157">
        <v>60</v>
      </c>
      <c r="B157">
        <v>2</v>
      </c>
      <c r="C157" s="1">
        <v>1000000</v>
      </c>
      <c r="D157">
        <v>1</v>
      </c>
      <c r="E157">
        <v>0</v>
      </c>
      <c r="F157">
        <v>1.1000000000000001</v>
      </c>
      <c r="G157">
        <v>5.0999999999999996</v>
      </c>
      <c r="H157">
        <v>1.1000000000000001</v>
      </c>
      <c r="I157">
        <v>0</v>
      </c>
      <c r="J157">
        <v>-6.2731137905671003E-2</v>
      </c>
      <c r="K157">
        <v>-0.15023799337111199</v>
      </c>
      <c r="L157">
        <v>14.8981232479389</v>
      </c>
      <c r="M157">
        <v>64.204835165766895</v>
      </c>
      <c r="N157" s="1">
        <v>2.4336573704854899E-5</v>
      </c>
      <c r="O157">
        <v>4.1887902047863399</v>
      </c>
      <c r="P157">
        <v>0.48152199850116201</v>
      </c>
      <c r="Q157">
        <v>1.0900981668276799</v>
      </c>
      <c r="R157">
        <v>12.561324610980099</v>
      </c>
      <c r="S157">
        <v>1.65210649457815E-4</v>
      </c>
      <c r="T157">
        <v>12.546193894909299</v>
      </c>
      <c r="U157">
        <v>2.6016632161459398E-3</v>
      </c>
      <c r="V157">
        <v>2.7490510661971499E-4</v>
      </c>
      <c r="W157">
        <v>2</v>
      </c>
      <c r="X157">
        <v>148.46446000117101</v>
      </c>
      <c r="Y157">
        <v>1</v>
      </c>
    </row>
    <row r="158" spans="1:25" x14ac:dyDescent="0.25">
      <c r="A158">
        <v>60</v>
      </c>
      <c r="B158">
        <v>2</v>
      </c>
      <c r="C158" s="1">
        <v>1000000</v>
      </c>
      <c r="D158">
        <v>1</v>
      </c>
      <c r="E158">
        <v>0</v>
      </c>
      <c r="F158">
        <v>1.125</v>
      </c>
      <c r="G158">
        <v>5.125</v>
      </c>
      <c r="H158">
        <v>1.125</v>
      </c>
      <c r="I158">
        <v>0</v>
      </c>
      <c r="J158">
        <v>-0.172501821648571</v>
      </c>
      <c r="K158">
        <v>-8.7661133190784196E-2</v>
      </c>
      <c r="L158">
        <v>14.9459016316529</v>
      </c>
      <c r="M158">
        <v>64.252593585545398</v>
      </c>
      <c r="N158">
        <v>4.7295351688846001E-4</v>
      </c>
      <c r="O158">
        <v>4.1887902047863399</v>
      </c>
      <c r="P158">
        <v>0.44468827442969899</v>
      </c>
      <c r="Q158">
        <v>0.63580620367649199</v>
      </c>
      <c r="R158">
        <v>12.5613246180326</v>
      </c>
      <c r="S158">
        <v>-3.7513875911579199E-4</v>
      </c>
      <c r="T158">
        <v>12.546193923085101</v>
      </c>
      <c r="U158">
        <v>-2.1467254630723499E-2</v>
      </c>
      <c r="V158">
        <v>1.0372253429543701E-3</v>
      </c>
      <c r="W158">
        <v>2</v>
      </c>
      <c r="X158">
        <v>149.74677387374399</v>
      </c>
      <c r="Y158">
        <v>1</v>
      </c>
    </row>
    <row r="159" spans="1:25" x14ac:dyDescent="0.25">
      <c r="A159">
        <v>60</v>
      </c>
      <c r="B159">
        <v>2</v>
      </c>
      <c r="C159" s="1">
        <v>1000000</v>
      </c>
      <c r="D159">
        <v>1</v>
      </c>
      <c r="E159">
        <v>0</v>
      </c>
      <c r="F159">
        <v>1.1499999999999999</v>
      </c>
      <c r="G159">
        <v>5.15</v>
      </c>
      <c r="H159">
        <v>1.1499999999999999</v>
      </c>
      <c r="I159">
        <v>0</v>
      </c>
      <c r="J159">
        <v>-4.9168330948484898E-2</v>
      </c>
      <c r="K159">
        <v>-6.3226756783252999E-2</v>
      </c>
      <c r="L159">
        <v>14.8835249857893</v>
      </c>
      <c r="M159">
        <v>64.189869987075198</v>
      </c>
      <c r="N159" s="1">
        <v>9.2827903950616804E-5</v>
      </c>
      <c r="O159">
        <v>4.1887902047863497</v>
      </c>
      <c r="P159">
        <v>0.47072658595463601</v>
      </c>
      <c r="Q159">
        <v>0.45863038448169502</v>
      </c>
      <c r="R159">
        <v>12.5613246140949</v>
      </c>
      <c r="S159">
        <v>-1.6966395135308501E-4</v>
      </c>
      <c r="T159">
        <v>12.546193907353601</v>
      </c>
      <c r="U159">
        <v>-1.3820610547930099E-3</v>
      </c>
      <c r="V159">
        <v>8.9066570836965505E-4</v>
      </c>
      <c r="W159">
        <v>2</v>
      </c>
      <c r="X159">
        <v>148.98553423061301</v>
      </c>
      <c r="Y159">
        <v>1</v>
      </c>
    </row>
    <row r="160" spans="1:25" x14ac:dyDescent="0.25">
      <c r="A160">
        <v>60</v>
      </c>
      <c r="B160">
        <v>2</v>
      </c>
      <c r="C160" s="1">
        <v>1000000</v>
      </c>
      <c r="D160">
        <v>1</v>
      </c>
      <c r="E160">
        <v>0</v>
      </c>
      <c r="F160">
        <v>1.175</v>
      </c>
      <c r="G160">
        <v>5.1749999999999998</v>
      </c>
      <c r="H160">
        <v>1.175</v>
      </c>
      <c r="I160">
        <v>0</v>
      </c>
      <c r="J160">
        <v>-7.6901347971236905E-2</v>
      </c>
      <c r="K160">
        <v>-5.4894513362312998E-2</v>
      </c>
      <c r="L160">
        <v>14.877323652063399</v>
      </c>
      <c r="M160">
        <v>64.183389512945993</v>
      </c>
      <c r="N160">
        <v>2.3237777667145599E-4</v>
      </c>
      <c r="O160">
        <v>4.1887902047863497</v>
      </c>
      <c r="P160">
        <v>0.47429987536604501</v>
      </c>
      <c r="Q160">
        <v>0.39818534232019698</v>
      </c>
      <c r="R160">
        <v>12.5613246144123</v>
      </c>
      <c r="S160">
        <v>-1.55551251005981E-4</v>
      </c>
      <c r="T160">
        <v>12.5461939086213</v>
      </c>
      <c r="U160">
        <v>4.0615812886253396E-3</v>
      </c>
      <c r="V160" s="1">
        <v>9.9738295389767401E-5</v>
      </c>
      <c r="W160">
        <v>2</v>
      </c>
      <c r="X160">
        <v>148.89020876309999</v>
      </c>
      <c r="Y160">
        <v>1</v>
      </c>
    </row>
    <row r="161" spans="1:25" x14ac:dyDescent="0.25">
      <c r="A161">
        <v>60</v>
      </c>
      <c r="B161">
        <v>2</v>
      </c>
      <c r="C161" s="1">
        <v>1000000</v>
      </c>
      <c r="D161">
        <v>1</v>
      </c>
      <c r="E161">
        <v>0</v>
      </c>
      <c r="F161">
        <v>1.2</v>
      </c>
      <c r="G161">
        <v>5.2</v>
      </c>
      <c r="H161">
        <v>1.2</v>
      </c>
      <c r="I161">
        <v>0</v>
      </c>
      <c r="J161">
        <v>-6.1217330994540603E-2</v>
      </c>
      <c r="K161">
        <v>-5.2084032652598797E-2</v>
      </c>
      <c r="L161">
        <v>14.9252265684666</v>
      </c>
      <c r="M161">
        <v>64.230606596175804</v>
      </c>
      <c r="N161" s="1">
        <v>1.5772742475157901E-5</v>
      </c>
      <c r="O161">
        <v>4.1887902047863301</v>
      </c>
      <c r="P161">
        <v>0.460945529372709</v>
      </c>
      <c r="Q161">
        <v>0.37786822745097598</v>
      </c>
      <c r="R161">
        <v>12.561324620506999</v>
      </c>
      <c r="S161" s="1">
        <v>-2.2007906102632901E-5</v>
      </c>
      <c r="T161">
        <v>12.5461939329711</v>
      </c>
      <c r="U161">
        <v>5.9869448376659402E-3</v>
      </c>
      <c r="V161">
        <v>4.80427311054627E-4</v>
      </c>
      <c r="W161">
        <v>2</v>
      </c>
      <c r="X161">
        <v>148.99305022815</v>
      </c>
      <c r="Y161">
        <v>1</v>
      </c>
    </row>
    <row r="162" spans="1:25" x14ac:dyDescent="0.25">
      <c r="A162">
        <v>60</v>
      </c>
      <c r="B162">
        <v>2</v>
      </c>
      <c r="C162" s="1">
        <v>1000000</v>
      </c>
      <c r="D162">
        <v>1</v>
      </c>
      <c r="E162">
        <v>0</v>
      </c>
      <c r="F162">
        <v>1.2250000000000001</v>
      </c>
      <c r="G162">
        <v>5.2249999999999996</v>
      </c>
      <c r="H162">
        <v>1.2250000000000001</v>
      </c>
      <c r="I162">
        <v>0</v>
      </c>
      <c r="J162">
        <v>-0.108320136085372</v>
      </c>
      <c r="K162">
        <v>-2.26990517037736E-2</v>
      </c>
      <c r="L162">
        <v>15.0175985723385</v>
      </c>
      <c r="M162">
        <v>64.3223633993709</v>
      </c>
      <c r="N162">
        <v>2.9980757931155399E-4</v>
      </c>
      <c r="O162">
        <v>4.1887902047863603</v>
      </c>
      <c r="P162">
        <v>0.402877506322668</v>
      </c>
      <c r="Q162">
        <v>0.164677180819438</v>
      </c>
      <c r="R162">
        <v>12.5613246223533</v>
      </c>
      <c r="S162" s="1">
        <v>-1.9177389409624398E-5</v>
      </c>
      <c r="T162">
        <v>12.546193940347299</v>
      </c>
      <c r="U162">
        <v>-3.1170912106254001E-2</v>
      </c>
      <c r="V162">
        <v>4.44313952923636E-4</v>
      </c>
      <c r="W162">
        <v>2</v>
      </c>
      <c r="X162">
        <v>151.028891155357</v>
      </c>
      <c r="Y162">
        <v>1</v>
      </c>
    </row>
    <row r="163" spans="1:25" x14ac:dyDescent="0.25">
      <c r="A163">
        <v>60</v>
      </c>
      <c r="B163">
        <v>2</v>
      </c>
      <c r="C163" s="1">
        <v>1000000</v>
      </c>
      <c r="D163">
        <v>1</v>
      </c>
      <c r="E163">
        <v>0</v>
      </c>
      <c r="F163">
        <v>1.25</v>
      </c>
      <c r="G163">
        <v>5.25</v>
      </c>
      <c r="H163">
        <v>1.25</v>
      </c>
      <c r="I163">
        <v>0</v>
      </c>
      <c r="J163">
        <v>0.11210207965835001</v>
      </c>
      <c r="K163">
        <v>-2.5316501805223102E-2</v>
      </c>
      <c r="L163">
        <v>14.9837328109439</v>
      </c>
      <c r="M163">
        <v>64.288091965903007</v>
      </c>
      <c r="N163">
        <v>1.92210731946173E-3</v>
      </c>
      <c r="O163">
        <v>4.1887902047857901</v>
      </c>
      <c r="P163">
        <v>0.41491155181359102</v>
      </c>
      <c r="Q163">
        <v>0.18371476203835299</v>
      </c>
      <c r="R163">
        <v>12.5613246189907</v>
      </c>
      <c r="S163" s="1">
        <v>8.0447997935365905E-5</v>
      </c>
      <c r="T163">
        <v>12.546193926913199</v>
      </c>
      <c r="U163">
        <v>-1.07351317223882E-2</v>
      </c>
      <c r="V163">
        <v>2.8514608717119502E-4</v>
      </c>
      <c r="W163">
        <v>2</v>
      </c>
      <c r="X163">
        <v>150.78793644140001</v>
      </c>
      <c r="Y163">
        <v>1</v>
      </c>
    </row>
    <row r="164" spans="1:25" x14ac:dyDescent="0.25">
      <c r="A164">
        <v>60</v>
      </c>
      <c r="B164">
        <v>2</v>
      </c>
      <c r="C164" s="1">
        <v>1000000</v>
      </c>
      <c r="D164">
        <v>1</v>
      </c>
      <c r="E164">
        <v>0</v>
      </c>
      <c r="F164">
        <v>1.2749999999999999</v>
      </c>
      <c r="G164">
        <v>5.2750000000000004</v>
      </c>
      <c r="H164">
        <v>1.2749999999999999</v>
      </c>
      <c r="I164">
        <v>0</v>
      </c>
      <c r="J164">
        <v>-4.1280267957670104E-3</v>
      </c>
      <c r="K164">
        <v>-2.6641846302190499E-2</v>
      </c>
      <c r="L164">
        <v>15.000409358180301</v>
      </c>
      <c r="M164">
        <v>64.316128414811303</v>
      </c>
      <c r="N164">
        <v>5.3961282689595305E-4</v>
      </c>
      <c r="O164">
        <v>4.1887902047863301</v>
      </c>
      <c r="P164">
        <v>0.41597500103298501</v>
      </c>
      <c r="Q164">
        <v>0.19336962998270399</v>
      </c>
      <c r="R164">
        <v>12.561324620168699</v>
      </c>
      <c r="S164">
        <v>1.61919930744387E-4</v>
      </c>
      <c r="T164">
        <v>12.5461939316195</v>
      </c>
      <c r="U164">
        <v>-5.7805977526171797E-3</v>
      </c>
      <c r="V164">
        <v>1.0755566671745E-3</v>
      </c>
      <c r="W164">
        <v>2</v>
      </c>
      <c r="X164">
        <v>150.642576113015</v>
      </c>
      <c r="Y164">
        <v>1</v>
      </c>
    </row>
    <row r="165" spans="1:25" x14ac:dyDescent="0.25">
      <c r="A165">
        <v>60</v>
      </c>
      <c r="B165">
        <v>2</v>
      </c>
      <c r="C165" s="1">
        <v>1000000</v>
      </c>
      <c r="D165">
        <v>1</v>
      </c>
      <c r="E165">
        <v>0</v>
      </c>
      <c r="F165">
        <v>1.3</v>
      </c>
      <c r="G165">
        <v>5.3</v>
      </c>
      <c r="H165">
        <v>1.3</v>
      </c>
      <c r="I165">
        <v>0</v>
      </c>
      <c r="J165">
        <v>-0.15994475569831701</v>
      </c>
      <c r="K165">
        <v>-1.2742320182661899E-2</v>
      </c>
      <c r="L165">
        <v>14.760292537256801</v>
      </c>
      <c r="M165">
        <v>64.228463652941997</v>
      </c>
      <c r="N165">
        <v>2.0449799683824E-3</v>
      </c>
      <c r="O165">
        <v>4.1887902047848904</v>
      </c>
      <c r="P165">
        <v>0.45066264666863698</v>
      </c>
      <c r="Q165">
        <v>9.2451603821066305E-2</v>
      </c>
      <c r="R165">
        <v>12.5613245994314</v>
      </c>
      <c r="S165" s="1">
        <v>6.8312264200408198E-6</v>
      </c>
      <c r="T165">
        <v>12.5461938487698</v>
      </c>
      <c r="U165">
        <v>8.7301037627866493E-3</v>
      </c>
      <c r="V165">
        <v>1.9222140381851599E-4</v>
      </c>
      <c r="W165">
        <v>2</v>
      </c>
      <c r="X165">
        <v>149.77291313243401</v>
      </c>
      <c r="Y165">
        <v>1</v>
      </c>
    </row>
    <row r="166" spans="1:25" x14ac:dyDescent="0.25">
      <c r="A166">
        <v>90</v>
      </c>
      <c r="B166">
        <v>2</v>
      </c>
      <c r="C166" s="1">
        <v>1000000</v>
      </c>
      <c r="D166">
        <v>1</v>
      </c>
      <c r="E166">
        <v>0</v>
      </c>
      <c r="F166">
        <v>0.3</v>
      </c>
      <c r="G166">
        <v>4.3</v>
      </c>
      <c r="H166">
        <v>0.3</v>
      </c>
      <c r="I166">
        <v>0</v>
      </c>
      <c r="J166">
        <v>5.21991440468787</v>
      </c>
      <c r="K166">
        <v>5.22901382111489</v>
      </c>
      <c r="L166">
        <v>5.58987621919613</v>
      </c>
      <c r="M166">
        <v>54.897604456997598</v>
      </c>
      <c r="N166">
        <v>4.9545221479032897E-2</v>
      </c>
      <c r="O166">
        <v>4.1887902051314203</v>
      </c>
      <c r="P166">
        <v>3.1800133745229302</v>
      </c>
      <c r="Q166">
        <v>13.546993410138301</v>
      </c>
      <c r="R166">
        <v>12.5613245950154</v>
      </c>
      <c r="S166">
        <v>14.5917173159587</v>
      </c>
      <c r="T166">
        <v>12.546193831127299</v>
      </c>
      <c r="U166">
        <v>2.72638762660063E-2</v>
      </c>
      <c r="V166">
        <v>2</v>
      </c>
      <c r="W166">
        <v>2.1585700000000001</v>
      </c>
      <c r="X166">
        <v>38.055543315757603</v>
      </c>
      <c r="Y166">
        <v>1</v>
      </c>
    </row>
    <row r="167" spans="1:25" x14ac:dyDescent="0.25">
      <c r="A167">
        <v>90</v>
      </c>
      <c r="B167">
        <v>2</v>
      </c>
      <c r="C167" s="1">
        <v>1000000</v>
      </c>
      <c r="D167">
        <v>1</v>
      </c>
      <c r="E167">
        <v>0</v>
      </c>
      <c r="F167">
        <v>0.32500000000000001</v>
      </c>
      <c r="G167">
        <v>4.3250000000000002</v>
      </c>
      <c r="H167">
        <v>0.32500000000000001</v>
      </c>
      <c r="I167">
        <v>0</v>
      </c>
      <c r="J167">
        <v>0.55177895305833502</v>
      </c>
      <c r="K167">
        <v>0.55112570109589998</v>
      </c>
      <c r="L167">
        <v>5.1263739261836596</v>
      </c>
      <c r="M167">
        <v>54.434099295477701</v>
      </c>
      <c r="N167">
        <v>8.0341366804768999E-2</v>
      </c>
      <c r="O167">
        <v>4.1887902047869003</v>
      </c>
      <c r="P167">
        <v>1.24638219400719</v>
      </c>
      <c r="Q167">
        <v>12.8167594535417</v>
      </c>
      <c r="R167">
        <v>12.5613243873564</v>
      </c>
      <c r="S167">
        <v>13.0614705820986</v>
      </c>
      <c r="T167">
        <v>12.5461930014916</v>
      </c>
      <c r="U167">
        <v>5.00783235914792E-2</v>
      </c>
      <c r="V167">
        <v>2</v>
      </c>
      <c r="W167">
        <v>2.0411999999999999</v>
      </c>
      <c r="X167">
        <v>76.213315608300306</v>
      </c>
      <c r="Y167">
        <v>1</v>
      </c>
    </row>
    <row r="168" spans="1:25" x14ac:dyDescent="0.25">
      <c r="A168">
        <v>90</v>
      </c>
      <c r="B168">
        <v>2</v>
      </c>
      <c r="C168" s="1">
        <v>1000000</v>
      </c>
      <c r="D168">
        <v>1</v>
      </c>
      <c r="E168">
        <v>0</v>
      </c>
      <c r="F168">
        <v>0.35</v>
      </c>
      <c r="G168">
        <v>4.3499999999999996</v>
      </c>
      <c r="H168">
        <v>0.35</v>
      </c>
      <c r="I168">
        <v>0</v>
      </c>
      <c r="J168">
        <v>-3.0278768001341398</v>
      </c>
      <c r="K168">
        <v>-3.0283889040446699</v>
      </c>
      <c r="L168">
        <v>5.3539487250991398</v>
      </c>
      <c r="M168">
        <v>54.661657253175399</v>
      </c>
      <c r="N168">
        <v>4.5089609382499299E-2</v>
      </c>
      <c r="O168">
        <v>4.1887902048041097</v>
      </c>
      <c r="P168">
        <v>-0.59125318303253205</v>
      </c>
      <c r="Q168">
        <v>12.120978059842299</v>
      </c>
      <c r="R168">
        <v>12.5613209625806</v>
      </c>
      <c r="S168">
        <v>11.681883167294201</v>
      </c>
      <c r="T168">
        <v>12.5461793186627</v>
      </c>
      <c r="U168">
        <v>6.4093823637703204E-2</v>
      </c>
      <c r="V168">
        <v>1.92921185174952</v>
      </c>
      <c r="W168">
        <v>2</v>
      </c>
      <c r="X168">
        <v>110.838379017354</v>
      </c>
      <c r="Y168">
        <v>1</v>
      </c>
    </row>
    <row r="169" spans="1:25" x14ac:dyDescent="0.25">
      <c r="A169">
        <v>90</v>
      </c>
      <c r="B169">
        <v>2</v>
      </c>
      <c r="C169" s="1">
        <v>1000000</v>
      </c>
      <c r="D169">
        <v>1</v>
      </c>
      <c r="E169">
        <v>0</v>
      </c>
      <c r="F169">
        <v>0.375</v>
      </c>
      <c r="G169">
        <v>4.375</v>
      </c>
      <c r="H169">
        <v>0.375</v>
      </c>
      <c r="I169">
        <v>0</v>
      </c>
      <c r="J169">
        <v>-4.29051201478166</v>
      </c>
      <c r="K169">
        <v>-4.2908533709506598</v>
      </c>
      <c r="L169">
        <v>5.9517278413279104</v>
      </c>
      <c r="M169">
        <v>55.259373919774703</v>
      </c>
      <c r="N169">
        <v>9.2890838097862097E-2</v>
      </c>
      <c r="O169">
        <v>4.1887902047729098</v>
      </c>
      <c r="P169">
        <v>-1.4619882450153201</v>
      </c>
      <c r="Q169">
        <v>11.523598515575801</v>
      </c>
      <c r="R169">
        <v>12.5613065621272</v>
      </c>
      <c r="S169">
        <v>10.5586542112598</v>
      </c>
      <c r="T169">
        <v>12.5461217871527</v>
      </c>
      <c r="U169">
        <v>7.3003214410327893E-2</v>
      </c>
      <c r="V169">
        <v>1.83413136987297</v>
      </c>
      <c r="W169">
        <v>2</v>
      </c>
      <c r="X169">
        <v>134.10641480575501</v>
      </c>
      <c r="Y169">
        <v>1</v>
      </c>
    </row>
    <row r="170" spans="1:25" x14ac:dyDescent="0.25">
      <c r="A170">
        <v>90</v>
      </c>
      <c r="B170">
        <v>2</v>
      </c>
      <c r="C170" s="1">
        <v>1000000</v>
      </c>
      <c r="D170">
        <v>1</v>
      </c>
      <c r="E170">
        <v>0</v>
      </c>
      <c r="F170">
        <v>0.4</v>
      </c>
      <c r="G170">
        <v>4.4000000000000004</v>
      </c>
      <c r="H170">
        <v>0.4</v>
      </c>
      <c r="I170">
        <v>0</v>
      </c>
      <c r="J170">
        <v>-4.4182108904295596</v>
      </c>
      <c r="K170">
        <v>-4.4137471448073002</v>
      </c>
      <c r="L170">
        <v>6.6436017533032103</v>
      </c>
      <c r="M170">
        <v>55.951163550018201</v>
      </c>
      <c r="N170">
        <v>7.6941168552234596E-2</v>
      </c>
      <c r="O170">
        <v>4.1887902046895196</v>
      </c>
      <c r="P170">
        <v>-1.73307208202819</v>
      </c>
      <c r="Q170">
        <v>11.014565727465801</v>
      </c>
      <c r="R170">
        <v>12.561287213424601</v>
      </c>
      <c r="S170">
        <v>9.6463532335185</v>
      </c>
      <c r="T170">
        <v>12.5460444811927</v>
      </c>
      <c r="U170">
        <v>8.3597440157550801E-2</v>
      </c>
      <c r="V170">
        <v>1.7520809400819599</v>
      </c>
      <c r="W170">
        <v>2</v>
      </c>
      <c r="X170">
        <v>148.54506414635799</v>
      </c>
      <c r="Y170">
        <v>1</v>
      </c>
    </row>
    <row r="171" spans="1:25" x14ac:dyDescent="0.25">
      <c r="A171">
        <v>90</v>
      </c>
      <c r="B171">
        <v>2</v>
      </c>
      <c r="C171" s="1">
        <v>1000000</v>
      </c>
      <c r="D171">
        <v>1</v>
      </c>
      <c r="E171">
        <v>0</v>
      </c>
      <c r="F171">
        <v>0.42499999999999999</v>
      </c>
      <c r="G171">
        <v>4.4249999999999998</v>
      </c>
      <c r="H171">
        <v>0.42499999999999999</v>
      </c>
      <c r="I171">
        <v>0</v>
      </c>
      <c r="J171">
        <v>-4.1792045680854804</v>
      </c>
      <c r="K171">
        <v>-4.1725128542911198</v>
      </c>
      <c r="L171">
        <v>7.3208464372286501</v>
      </c>
      <c r="M171">
        <v>56.6284126532709</v>
      </c>
      <c r="N171">
        <v>1.46559482554464E-2</v>
      </c>
      <c r="O171">
        <v>4.1887902049632197</v>
      </c>
      <c r="P171">
        <v>-1.75973860563656</v>
      </c>
      <c r="Q171">
        <v>10.573798348822001</v>
      </c>
      <c r="R171">
        <v>12.5612915545248</v>
      </c>
      <c r="S171">
        <v>8.8893163229884102</v>
      </c>
      <c r="T171">
        <v>12.546061825016199</v>
      </c>
      <c r="U171">
        <v>9.2480616179927505E-2</v>
      </c>
      <c r="V171">
        <v>1.67945970881317</v>
      </c>
      <c r="W171">
        <v>2</v>
      </c>
      <c r="X171">
        <v>157.292273620728</v>
      </c>
      <c r="Y171">
        <v>1</v>
      </c>
    </row>
    <row r="172" spans="1:25" x14ac:dyDescent="0.25">
      <c r="A172">
        <v>90</v>
      </c>
      <c r="B172">
        <v>2</v>
      </c>
      <c r="C172" s="1">
        <v>1000000</v>
      </c>
      <c r="D172">
        <v>1</v>
      </c>
      <c r="E172">
        <v>0</v>
      </c>
      <c r="F172">
        <v>0.45</v>
      </c>
      <c r="G172">
        <v>4.45</v>
      </c>
      <c r="H172">
        <v>0.45</v>
      </c>
      <c r="I172">
        <v>0</v>
      </c>
      <c r="J172">
        <v>-3.8498100503748098</v>
      </c>
      <c r="K172">
        <v>-3.8445409508656598</v>
      </c>
      <c r="L172">
        <v>7.9516138825658604</v>
      </c>
      <c r="M172">
        <v>57.259101594506397</v>
      </c>
      <c r="N172">
        <v>5.7131126163961501E-2</v>
      </c>
      <c r="O172">
        <v>4.1887902024603703</v>
      </c>
      <c r="P172">
        <v>-1.6955030975418499</v>
      </c>
      <c r="Q172">
        <v>10.181514928842001</v>
      </c>
      <c r="R172">
        <v>12.561270964219601</v>
      </c>
      <c r="S172">
        <v>8.2420659135023993</v>
      </c>
      <c r="T172">
        <v>12.5459795591087</v>
      </c>
      <c r="U172">
        <v>0.10573684878032</v>
      </c>
      <c r="V172">
        <v>1.6171989847541901</v>
      </c>
      <c r="W172">
        <v>2</v>
      </c>
      <c r="X172">
        <v>163.28833114940599</v>
      </c>
      <c r="Y172">
        <v>1</v>
      </c>
    </row>
    <row r="173" spans="1:25" x14ac:dyDescent="0.25">
      <c r="A173">
        <v>90</v>
      </c>
      <c r="B173">
        <v>2</v>
      </c>
      <c r="C173" s="1">
        <v>1000000</v>
      </c>
      <c r="D173">
        <v>1</v>
      </c>
      <c r="E173">
        <v>0</v>
      </c>
      <c r="F173">
        <v>0.47499999999999998</v>
      </c>
      <c r="G173">
        <v>4.4749999999999996</v>
      </c>
      <c r="H173">
        <v>0.47499999999999998</v>
      </c>
      <c r="I173">
        <v>0</v>
      </c>
      <c r="J173">
        <v>-3.5282948378209502</v>
      </c>
      <c r="K173">
        <v>-3.5279532819030801</v>
      </c>
      <c r="L173">
        <v>8.5308824226198698</v>
      </c>
      <c r="M173">
        <v>57.838358148849203</v>
      </c>
      <c r="N173">
        <v>0.17719879092546101</v>
      </c>
      <c r="O173">
        <v>4.1887902012998897</v>
      </c>
      <c r="P173">
        <v>-1.60574457171288</v>
      </c>
      <c r="Q173">
        <v>9.8301688216802496</v>
      </c>
      <c r="R173">
        <v>12.561266476984599</v>
      </c>
      <c r="S173">
        <v>7.68280062776702</v>
      </c>
      <c r="T173">
        <v>12.545961627205701</v>
      </c>
      <c r="U173">
        <v>0.117676207924135</v>
      </c>
      <c r="V173">
        <v>1.56285527266832</v>
      </c>
      <c r="W173">
        <v>2</v>
      </c>
      <c r="X173">
        <v>167.31864720633001</v>
      </c>
      <c r="Y173">
        <v>1</v>
      </c>
    </row>
    <row r="174" spans="1:25" x14ac:dyDescent="0.25">
      <c r="A174">
        <v>90</v>
      </c>
      <c r="B174">
        <v>2</v>
      </c>
      <c r="C174" s="1">
        <v>1000000</v>
      </c>
      <c r="D174">
        <v>1</v>
      </c>
      <c r="E174">
        <v>0</v>
      </c>
      <c r="F174">
        <v>0.5</v>
      </c>
      <c r="G174">
        <v>4.5</v>
      </c>
      <c r="H174">
        <v>0.5</v>
      </c>
      <c r="I174">
        <v>0</v>
      </c>
      <c r="J174">
        <v>-3.23471773894489</v>
      </c>
      <c r="K174">
        <v>-3.2313634062770298</v>
      </c>
      <c r="L174">
        <v>9.0619034249955206</v>
      </c>
      <c r="M174">
        <v>58.369505657696003</v>
      </c>
      <c r="N174">
        <v>0.124602376732768</v>
      </c>
      <c r="O174">
        <v>4.1887902045486101</v>
      </c>
      <c r="P174">
        <v>-1.5039853541091299</v>
      </c>
      <c r="Q174">
        <v>9.5034362628110696</v>
      </c>
      <c r="R174">
        <v>12.5613052972299</v>
      </c>
      <c r="S174">
        <v>7.1808005205367698</v>
      </c>
      <c r="T174">
        <v>12.546116731175299</v>
      </c>
      <c r="U174">
        <v>0.12624031293287299</v>
      </c>
      <c r="V174">
        <v>1.51177098973691</v>
      </c>
      <c r="W174">
        <v>2</v>
      </c>
      <c r="X174">
        <v>169.76779375185899</v>
      </c>
      <c r="Y174">
        <v>1</v>
      </c>
    </row>
    <row r="175" spans="1:25" x14ac:dyDescent="0.25">
      <c r="A175">
        <v>90</v>
      </c>
      <c r="B175">
        <v>2</v>
      </c>
      <c r="C175" s="1">
        <v>1000000</v>
      </c>
      <c r="D175">
        <v>1</v>
      </c>
      <c r="E175">
        <v>0</v>
      </c>
      <c r="F175">
        <v>0.52500000000000002</v>
      </c>
      <c r="G175">
        <v>4.5250000000000004</v>
      </c>
      <c r="H175">
        <v>0.52500000000000002</v>
      </c>
      <c r="I175">
        <v>0</v>
      </c>
      <c r="J175">
        <v>-2.9695229574347399</v>
      </c>
      <c r="K175">
        <v>-2.9652932183240299</v>
      </c>
      <c r="L175">
        <v>9.5480269277301204</v>
      </c>
      <c r="M175">
        <v>58.855387332505799</v>
      </c>
      <c r="N175">
        <v>2.7150457481528702E-2</v>
      </c>
      <c r="O175">
        <v>4.1887902003180004</v>
      </c>
      <c r="P175">
        <v>-1.4016472801750499</v>
      </c>
      <c r="Q175">
        <v>9.2005926054943306</v>
      </c>
      <c r="R175">
        <v>12.561238420038</v>
      </c>
      <c r="S175">
        <v>6.7284361113879303</v>
      </c>
      <c r="T175">
        <v>12.545849521301999</v>
      </c>
      <c r="U175">
        <v>0.127693361848951</v>
      </c>
      <c r="V175">
        <v>1.46237143117586</v>
      </c>
      <c r="W175">
        <v>2</v>
      </c>
      <c r="X175">
        <v>171.924460414908</v>
      </c>
      <c r="Y175">
        <v>1</v>
      </c>
    </row>
    <row r="176" spans="1:25" x14ac:dyDescent="0.25">
      <c r="A176">
        <v>90</v>
      </c>
      <c r="B176">
        <v>2</v>
      </c>
      <c r="C176" s="1">
        <v>1000000</v>
      </c>
      <c r="D176">
        <v>1</v>
      </c>
      <c r="E176">
        <v>0</v>
      </c>
      <c r="F176">
        <v>0.55000000000000004</v>
      </c>
      <c r="G176">
        <v>4.55</v>
      </c>
      <c r="H176">
        <v>0.55000000000000004</v>
      </c>
      <c r="I176">
        <v>0</v>
      </c>
      <c r="J176">
        <v>-2.7379105540305502</v>
      </c>
      <c r="K176">
        <v>-2.7340191779387499</v>
      </c>
      <c r="L176">
        <v>9.9955937005709004</v>
      </c>
      <c r="M176">
        <v>59.302939149103402</v>
      </c>
      <c r="N176">
        <v>0.182465756156548</v>
      </c>
      <c r="O176">
        <v>4.1887901993921002</v>
      </c>
      <c r="P176">
        <v>-1.3074703170148501</v>
      </c>
      <c r="Q176">
        <v>8.9155037027628801</v>
      </c>
      <c r="R176">
        <v>12.5612344679587</v>
      </c>
      <c r="S176">
        <v>6.3197193221750503</v>
      </c>
      <c r="T176">
        <v>12.545833728137501</v>
      </c>
      <c r="U176">
        <v>0.14378718412477101</v>
      </c>
      <c r="V176">
        <v>1.4174595688076801</v>
      </c>
      <c r="W176">
        <v>2</v>
      </c>
      <c r="X176">
        <v>173.29335864460299</v>
      </c>
      <c r="Y176">
        <v>1</v>
      </c>
    </row>
    <row r="177" spans="1:25" x14ac:dyDescent="0.25">
      <c r="A177">
        <v>90</v>
      </c>
      <c r="B177">
        <v>2</v>
      </c>
      <c r="C177" s="1">
        <v>1000000</v>
      </c>
      <c r="D177">
        <v>1</v>
      </c>
      <c r="E177">
        <v>0</v>
      </c>
      <c r="F177">
        <v>0.57499999999999996</v>
      </c>
      <c r="G177">
        <v>4.5750000000000002</v>
      </c>
      <c r="H177">
        <v>0.57499999999999996</v>
      </c>
      <c r="I177">
        <v>0</v>
      </c>
      <c r="J177">
        <v>-2.5318047215566599</v>
      </c>
      <c r="K177">
        <v>-2.5303839661387899</v>
      </c>
      <c r="L177">
        <v>10.408576283928101</v>
      </c>
      <c r="M177">
        <v>59.715674154692003</v>
      </c>
      <c r="N177">
        <v>0.203145510324067</v>
      </c>
      <c r="O177">
        <v>4.1887902014718996</v>
      </c>
      <c r="P177">
        <v>-1.2187048845666599</v>
      </c>
      <c r="Q177">
        <v>8.6495619628615508</v>
      </c>
      <c r="R177">
        <v>12.5611728986858</v>
      </c>
      <c r="S177">
        <v>5.9483714937945598</v>
      </c>
      <c r="T177">
        <v>12.5455877054284</v>
      </c>
      <c r="U177">
        <v>0.16107679066724601</v>
      </c>
      <c r="V177">
        <v>1.37530633370082</v>
      </c>
      <c r="W177">
        <v>2</v>
      </c>
      <c r="X177">
        <v>174.36397721749199</v>
      </c>
      <c r="Y177">
        <v>1</v>
      </c>
    </row>
    <row r="178" spans="1:25" x14ac:dyDescent="0.25">
      <c r="A178">
        <v>90</v>
      </c>
      <c r="B178">
        <v>2</v>
      </c>
      <c r="C178" s="1">
        <v>1000000</v>
      </c>
      <c r="D178">
        <v>1</v>
      </c>
      <c r="E178">
        <v>0</v>
      </c>
      <c r="F178">
        <v>0.6</v>
      </c>
      <c r="G178">
        <v>4.5999999999999996</v>
      </c>
      <c r="H178">
        <v>0.6</v>
      </c>
      <c r="I178">
        <v>0</v>
      </c>
      <c r="J178">
        <v>-2.3499921650545601</v>
      </c>
      <c r="K178">
        <v>-2.3470239735363601</v>
      </c>
      <c r="L178">
        <v>10.7918634646078</v>
      </c>
      <c r="M178">
        <v>60.098948479680097</v>
      </c>
      <c r="N178">
        <v>0.23084945009069699</v>
      </c>
      <c r="O178">
        <v>4.1887902006739104</v>
      </c>
      <c r="P178">
        <v>-1.1351437553710499</v>
      </c>
      <c r="Q178">
        <v>8.3914937574570807</v>
      </c>
      <c r="R178">
        <v>12.561171864561899</v>
      </c>
      <c r="S178">
        <v>5.5986677974433698</v>
      </c>
      <c r="T178">
        <v>12.545583576018201</v>
      </c>
      <c r="U178">
        <v>0.16986457165249799</v>
      </c>
      <c r="V178">
        <v>1.3342491025301599</v>
      </c>
      <c r="W178">
        <v>2</v>
      </c>
      <c r="X178">
        <v>174.775019418814</v>
      </c>
      <c r="Y178">
        <v>1</v>
      </c>
    </row>
    <row r="179" spans="1:25" x14ac:dyDescent="0.25">
      <c r="A179">
        <v>90</v>
      </c>
      <c r="B179">
        <v>2</v>
      </c>
      <c r="C179" s="1">
        <v>1000000</v>
      </c>
      <c r="D179">
        <v>1</v>
      </c>
      <c r="E179">
        <v>0</v>
      </c>
      <c r="F179">
        <v>0.625</v>
      </c>
      <c r="G179">
        <v>4.625</v>
      </c>
      <c r="H179">
        <v>0.625</v>
      </c>
      <c r="I179">
        <v>0</v>
      </c>
      <c r="J179">
        <v>-2.1865450266447</v>
      </c>
      <c r="K179">
        <v>-2.1843388263985402</v>
      </c>
      <c r="L179">
        <v>11.1478921849821</v>
      </c>
      <c r="M179">
        <v>60.454533518241398</v>
      </c>
      <c r="N179">
        <v>0.302185718686937</v>
      </c>
      <c r="O179">
        <v>4.1887901795879996</v>
      </c>
      <c r="P179">
        <v>-1.0575047520840799</v>
      </c>
      <c r="Q179">
        <v>8.1457101538964096</v>
      </c>
      <c r="R179">
        <v>12.5610625152003</v>
      </c>
      <c r="S179">
        <v>5.2755275614962303</v>
      </c>
      <c r="T179">
        <v>12.545146629126601</v>
      </c>
      <c r="U179">
        <v>0.175554881910326</v>
      </c>
      <c r="V179">
        <v>1.29542761868496</v>
      </c>
      <c r="W179">
        <v>2</v>
      </c>
      <c r="X179">
        <v>175.04445188730301</v>
      </c>
      <c r="Y179">
        <v>1</v>
      </c>
    </row>
    <row r="180" spans="1:25" x14ac:dyDescent="0.25">
      <c r="A180">
        <v>90</v>
      </c>
      <c r="B180">
        <v>2</v>
      </c>
      <c r="C180" s="1">
        <v>1000000</v>
      </c>
      <c r="D180">
        <v>1</v>
      </c>
      <c r="E180">
        <v>0</v>
      </c>
      <c r="F180">
        <v>0.65</v>
      </c>
      <c r="G180">
        <v>4.6500000000000004</v>
      </c>
      <c r="H180">
        <v>0.65</v>
      </c>
      <c r="I180">
        <v>0</v>
      </c>
      <c r="J180">
        <v>-2.0400944676847801</v>
      </c>
      <c r="K180">
        <v>-2.0372233723093198</v>
      </c>
      <c r="L180">
        <v>11.479618276444301</v>
      </c>
      <c r="M180">
        <v>60.786136715206801</v>
      </c>
      <c r="N180">
        <v>0.26603014249811902</v>
      </c>
      <c r="O180">
        <v>4.18879019548437</v>
      </c>
      <c r="P180">
        <v>-0.98423590439088904</v>
      </c>
      <c r="Q180">
        <v>7.9073649810968201</v>
      </c>
      <c r="R180">
        <v>12.561033238826401</v>
      </c>
      <c r="S180">
        <v>4.9712543074396303</v>
      </c>
      <c r="T180">
        <v>12.545029640009799</v>
      </c>
      <c r="U180">
        <v>0.18139317558158599</v>
      </c>
      <c r="V180">
        <v>1.2573166678529399</v>
      </c>
      <c r="W180">
        <v>2</v>
      </c>
      <c r="X180">
        <v>175.08774958610201</v>
      </c>
      <c r="Y180">
        <v>1</v>
      </c>
    </row>
    <row r="181" spans="1:25" x14ac:dyDescent="0.25">
      <c r="A181">
        <v>90</v>
      </c>
      <c r="B181">
        <v>2</v>
      </c>
      <c r="C181" s="1">
        <v>1000000</v>
      </c>
      <c r="D181">
        <v>1</v>
      </c>
      <c r="E181">
        <v>0</v>
      </c>
      <c r="F181">
        <v>0.67500000000000004</v>
      </c>
      <c r="G181">
        <v>4.6749999999999998</v>
      </c>
      <c r="H181">
        <v>0.67500000000000004</v>
      </c>
      <c r="I181">
        <v>0</v>
      </c>
      <c r="J181">
        <v>-1.9072455831910999</v>
      </c>
      <c r="K181">
        <v>-1.9041747043916599</v>
      </c>
      <c r="L181">
        <v>11.789457179285201</v>
      </c>
      <c r="M181">
        <v>61.095930328620199</v>
      </c>
      <c r="N181">
        <v>0.31076185159091402</v>
      </c>
      <c r="O181">
        <v>4.1887901981183804</v>
      </c>
      <c r="P181">
        <v>-0.91536027152923405</v>
      </c>
      <c r="Q181">
        <v>7.6760850223783601</v>
      </c>
      <c r="R181">
        <v>12.5610239184834</v>
      </c>
      <c r="S181">
        <v>4.6847100927750596</v>
      </c>
      <c r="T181">
        <v>12.5449923948792</v>
      </c>
      <c r="U181">
        <v>0.18394263955996501</v>
      </c>
      <c r="V181">
        <v>1.2207951904010099</v>
      </c>
      <c r="W181">
        <v>2</v>
      </c>
      <c r="X181">
        <v>174.92356242941599</v>
      </c>
      <c r="Y181">
        <v>1</v>
      </c>
    </row>
    <row r="182" spans="1:25" x14ac:dyDescent="0.25">
      <c r="A182">
        <v>90</v>
      </c>
      <c r="B182">
        <v>2</v>
      </c>
      <c r="C182" s="1">
        <v>1000000</v>
      </c>
      <c r="D182">
        <v>1</v>
      </c>
      <c r="E182">
        <v>0</v>
      </c>
      <c r="F182">
        <v>0.7</v>
      </c>
      <c r="G182">
        <v>4.7</v>
      </c>
      <c r="H182">
        <v>0.7</v>
      </c>
      <c r="I182">
        <v>0</v>
      </c>
      <c r="J182">
        <v>-1.7867257043171501</v>
      </c>
      <c r="K182">
        <v>-1.78314621050614</v>
      </c>
      <c r="L182">
        <v>12.0794825570207</v>
      </c>
      <c r="M182">
        <v>61.3862270084187</v>
      </c>
      <c r="N182">
        <v>0.29570967404898402</v>
      </c>
      <c r="O182">
        <v>4.1887901993185297</v>
      </c>
      <c r="P182">
        <v>-0.85035100557841603</v>
      </c>
      <c r="Q182">
        <v>7.4506984203864599</v>
      </c>
      <c r="R182">
        <v>12.5610918378537</v>
      </c>
      <c r="S182">
        <v>4.4136358108564604</v>
      </c>
      <c r="T182">
        <v>12.545263796340601</v>
      </c>
      <c r="U182">
        <v>0.18844658593166499</v>
      </c>
      <c r="V182">
        <v>1.18492858323252</v>
      </c>
      <c r="W182">
        <v>2</v>
      </c>
      <c r="X182">
        <v>174.65193858392399</v>
      </c>
      <c r="Y182">
        <v>1</v>
      </c>
    </row>
    <row r="183" spans="1:25" x14ac:dyDescent="0.25">
      <c r="A183">
        <v>90</v>
      </c>
      <c r="B183">
        <v>2</v>
      </c>
      <c r="C183" s="1">
        <v>1000000</v>
      </c>
      <c r="D183">
        <v>1</v>
      </c>
      <c r="E183">
        <v>0</v>
      </c>
      <c r="F183">
        <v>0.72499999999999998</v>
      </c>
      <c r="G183">
        <v>4.7249999999999996</v>
      </c>
      <c r="H183">
        <v>0.72499999999999998</v>
      </c>
      <c r="I183">
        <v>0</v>
      </c>
      <c r="J183">
        <v>-1.6768503087980899</v>
      </c>
      <c r="K183">
        <v>-1.67397591744906</v>
      </c>
      <c r="L183">
        <v>12.351465748793601</v>
      </c>
      <c r="M183">
        <v>61.658342502147903</v>
      </c>
      <c r="N183">
        <v>0.32998785670553499</v>
      </c>
      <c r="O183">
        <v>4.1887901942437598</v>
      </c>
      <c r="P183">
        <v>-0.78912128634519196</v>
      </c>
      <c r="Q183">
        <v>7.2343472049407804</v>
      </c>
      <c r="R183">
        <v>12.5611260258864</v>
      </c>
      <c r="S183">
        <v>4.1610253594290203</v>
      </c>
      <c r="T183">
        <v>12.545400409178599</v>
      </c>
      <c r="U183">
        <v>0.192779853572319</v>
      </c>
      <c r="V183">
        <v>1.1501577998542301</v>
      </c>
      <c r="W183">
        <v>2</v>
      </c>
      <c r="X183">
        <v>174.34844695480601</v>
      </c>
      <c r="Y183">
        <v>1</v>
      </c>
    </row>
    <row r="184" spans="1:25" x14ac:dyDescent="0.25">
      <c r="A184">
        <v>90</v>
      </c>
      <c r="B184">
        <v>2</v>
      </c>
      <c r="C184" s="1">
        <v>1000000</v>
      </c>
      <c r="D184">
        <v>1</v>
      </c>
      <c r="E184">
        <v>0</v>
      </c>
      <c r="F184">
        <v>0.75</v>
      </c>
      <c r="G184">
        <v>4.75</v>
      </c>
      <c r="H184">
        <v>0.75</v>
      </c>
      <c r="I184">
        <v>0</v>
      </c>
      <c r="J184">
        <v>-1.57601331038148</v>
      </c>
      <c r="K184">
        <v>-1.5718946078362701</v>
      </c>
      <c r="L184">
        <v>12.606895224306699</v>
      </c>
      <c r="M184">
        <v>61.913759678356897</v>
      </c>
      <c r="N184">
        <v>0.26158999555800699</v>
      </c>
      <c r="O184">
        <v>4.1887902021310497</v>
      </c>
      <c r="P184">
        <v>-0.73044581497458405</v>
      </c>
      <c r="Q184">
        <v>7.0169917903229004</v>
      </c>
      <c r="R184">
        <v>12.561124341746</v>
      </c>
      <c r="S184">
        <v>3.9147507665140702</v>
      </c>
      <c r="T184">
        <v>12.545393680383</v>
      </c>
      <c r="U184">
        <v>0.19385295488538501</v>
      </c>
      <c r="V184">
        <v>1.11583163463823</v>
      </c>
      <c r="W184">
        <v>2</v>
      </c>
      <c r="X184">
        <v>173.854329623713</v>
      </c>
      <c r="Y184">
        <v>1</v>
      </c>
    </row>
    <row r="185" spans="1:25" x14ac:dyDescent="0.25">
      <c r="A185">
        <v>90</v>
      </c>
      <c r="B185">
        <v>2</v>
      </c>
      <c r="C185" s="1">
        <v>1000000</v>
      </c>
      <c r="D185">
        <v>1</v>
      </c>
      <c r="E185">
        <v>0</v>
      </c>
      <c r="F185">
        <v>0.77500000000000002</v>
      </c>
      <c r="G185">
        <v>4.7750000000000004</v>
      </c>
      <c r="H185">
        <v>0.77500000000000002</v>
      </c>
      <c r="I185">
        <v>0</v>
      </c>
      <c r="J185">
        <v>-1.4832585647819501</v>
      </c>
      <c r="K185">
        <v>-1.4784497829143699</v>
      </c>
      <c r="L185">
        <v>12.8471224359632</v>
      </c>
      <c r="M185">
        <v>62.154009211075</v>
      </c>
      <c r="N185">
        <v>0.37896638394167798</v>
      </c>
      <c r="O185">
        <v>4.1887902012483602</v>
      </c>
      <c r="P185">
        <v>-0.67463875967954101</v>
      </c>
      <c r="Q185">
        <v>6.8052875165568203</v>
      </c>
      <c r="R185">
        <v>12.561131038463801</v>
      </c>
      <c r="S185">
        <v>3.68209860642096</v>
      </c>
      <c r="T185">
        <v>12.545420442044501</v>
      </c>
      <c r="U185">
        <v>0.191149610503798</v>
      </c>
      <c r="V185">
        <v>1.0821079562042599</v>
      </c>
      <c r="W185">
        <v>2</v>
      </c>
      <c r="X185">
        <v>173.34860180814999</v>
      </c>
      <c r="Y185">
        <v>1</v>
      </c>
    </row>
    <row r="186" spans="1:25" x14ac:dyDescent="0.25">
      <c r="A186">
        <v>90</v>
      </c>
      <c r="B186">
        <v>2</v>
      </c>
      <c r="C186" s="1">
        <v>1000000</v>
      </c>
      <c r="D186">
        <v>1</v>
      </c>
      <c r="E186">
        <v>0</v>
      </c>
      <c r="F186">
        <v>0.8</v>
      </c>
      <c r="G186">
        <v>4.8</v>
      </c>
      <c r="H186">
        <v>0.8</v>
      </c>
      <c r="I186">
        <v>0</v>
      </c>
      <c r="J186">
        <v>-1.3972404299199299</v>
      </c>
      <c r="K186">
        <v>-1.3928195242483601</v>
      </c>
      <c r="L186">
        <v>13.0733030087434</v>
      </c>
      <c r="M186">
        <v>62.380259979136497</v>
      </c>
      <c r="N186">
        <v>0.449094312002425</v>
      </c>
      <c r="O186">
        <v>4.1887901842924196</v>
      </c>
      <c r="P186">
        <v>-0.62122804781833796</v>
      </c>
      <c r="Q186">
        <v>6.5999058781070596</v>
      </c>
      <c r="R186">
        <v>12.561148713038</v>
      </c>
      <c r="S186">
        <v>3.4632005102774102</v>
      </c>
      <c r="T186">
        <v>12.5454910721804</v>
      </c>
      <c r="U186">
        <v>0.19700078508735899</v>
      </c>
      <c r="V186">
        <v>1.0493897766925699</v>
      </c>
      <c r="W186">
        <v>2</v>
      </c>
      <c r="X186">
        <v>172.84745357888301</v>
      </c>
      <c r="Y186">
        <v>1</v>
      </c>
    </row>
    <row r="187" spans="1:25" x14ac:dyDescent="0.25">
      <c r="A187">
        <v>90</v>
      </c>
      <c r="B187">
        <v>2</v>
      </c>
      <c r="C187" s="1">
        <v>1000000</v>
      </c>
      <c r="D187">
        <v>1</v>
      </c>
      <c r="E187">
        <v>0</v>
      </c>
      <c r="F187">
        <v>0.82499999999999996</v>
      </c>
      <c r="G187">
        <v>4.8250000000000002</v>
      </c>
      <c r="H187">
        <v>0.82499999999999996</v>
      </c>
      <c r="I187">
        <v>0</v>
      </c>
      <c r="J187">
        <v>-1.31690961536156</v>
      </c>
      <c r="K187">
        <v>-1.3128884586678899</v>
      </c>
      <c r="L187">
        <v>13.286426416164399</v>
      </c>
      <c r="M187">
        <v>62.593478892215003</v>
      </c>
      <c r="N187">
        <v>0.35339585096501103</v>
      </c>
      <c r="O187">
        <v>4.1887902012028198</v>
      </c>
      <c r="P187">
        <v>-0.56972945057885904</v>
      </c>
      <c r="Q187">
        <v>6.3960317576264103</v>
      </c>
      <c r="R187">
        <v>12.5611738319284</v>
      </c>
      <c r="S187">
        <v>3.2525784193857699</v>
      </c>
      <c r="T187">
        <v>12.545591446540399</v>
      </c>
      <c r="U187">
        <v>0.202006310500253</v>
      </c>
      <c r="V187">
        <v>1.0173829089944499</v>
      </c>
      <c r="W187">
        <v>2</v>
      </c>
      <c r="X187">
        <v>172.24815670278599</v>
      </c>
      <c r="Y187">
        <v>1</v>
      </c>
    </row>
    <row r="188" spans="1:25" x14ac:dyDescent="0.25">
      <c r="A188">
        <v>90</v>
      </c>
      <c r="B188">
        <v>2</v>
      </c>
      <c r="C188" s="1">
        <v>1000000</v>
      </c>
      <c r="D188">
        <v>1</v>
      </c>
      <c r="E188">
        <v>0</v>
      </c>
      <c r="F188">
        <v>0.85</v>
      </c>
      <c r="G188">
        <v>4.8499999999999996</v>
      </c>
      <c r="H188">
        <v>0.85</v>
      </c>
      <c r="I188">
        <v>0</v>
      </c>
      <c r="J188">
        <v>-1.2419095653776799</v>
      </c>
      <c r="K188">
        <v>-1.23822931977645</v>
      </c>
      <c r="L188">
        <v>13.4873809062259</v>
      </c>
      <c r="M188">
        <v>62.794594048536901</v>
      </c>
      <c r="N188">
        <v>0.46860259549361299</v>
      </c>
      <c r="O188">
        <v>4.1887902039074598</v>
      </c>
      <c r="P188">
        <v>-0.52001570200133496</v>
      </c>
      <c r="Q188">
        <v>6.1938603788413999</v>
      </c>
      <c r="R188">
        <v>12.561214711793101</v>
      </c>
      <c r="S188">
        <v>3.05022306825057</v>
      </c>
      <c r="T188">
        <v>12.5457547953872</v>
      </c>
      <c r="U188">
        <v>0.20526173184020099</v>
      </c>
      <c r="V188">
        <v>0.98472313058702998</v>
      </c>
      <c r="W188">
        <v>2</v>
      </c>
      <c r="X188">
        <v>171.617138246997</v>
      </c>
      <c r="Y188">
        <v>1</v>
      </c>
    </row>
    <row r="189" spans="1:25" x14ac:dyDescent="0.25">
      <c r="A189">
        <v>90</v>
      </c>
      <c r="B189">
        <v>2</v>
      </c>
      <c r="C189" s="1">
        <v>1000000</v>
      </c>
      <c r="D189">
        <v>1</v>
      </c>
      <c r="E189">
        <v>0</v>
      </c>
      <c r="F189">
        <v>0.875</v>
      </c>
      <c r="G189">
        <v>4.875</v>
      </c>
      <c r="H189">
        <v>0.875</v>
      </c>
      <c r="I189">
        <v>0</v>
      </c>
      <c r="J189">
        <v>-1.17155616117419</v>
      </c>
      <c r="K189">
        <v>-1.1679823725231899</v>
      </c>
      <c r="L189">
        <v>13.676936327190599</v>
      </c>
      <c r="M189">
        <v>62.9842612489063</v>
      </c>
      <c r="N189">
        <v>0.349618460977349</v>
      </c>
      <c r="O189">
        <v>4.1887902025911297</v>
      </c>
      <c r="P189">
        <v>-0.471649379822979</v>
      </c>
      <c r="Q189">
        <v>5.9921472547611696</v>
      </c>
      <c r="R189">
        <v>12.561244293903201</v>
      </c>
      <c r="S189">
        <v>2.85488009721688</v>
      </c>
      <c r="T189">
        <v>12.5458729961614</v>
      </c>
      <c r="U189">
        <v>0.19652777880854799</v>
      </c>
      <c r="V189">
        <v>0.95304204765346201</v>
      </c>
      <c r="W189">
        <v>2</v>
      </c>
      <c r="X189">
        <v>170.943406974113</v>
      </c>
      <c r="Y189">
        <v>1</v>
      </c>
    </row>
    <row r="190" spans="1:25" x14ac:dyDescent="0.25">
      <c r="A190">
        <v>90</v>
      </c>
      <c r="B190">
        <v>2</v>
      </c>
      <c r="C190" s="1">
        <v>1000000</v>
      </c>
      <c r="D190">
        <v>1</v>
      </c>
      <c r="E190">
        <v>0</v>
      </c>
      <c r="F190">
        <v>0.9</v>
      </c>
      <c r="G190">
        <v>4.9000000000000004</v>
      </c>
      <c r="H190">
        <v>0.9</v>
      </c>
      <c r="I190">
        <v>0</v>
      </c>
      <c r="J190">
        <v>-1.1049576938177801</v>
      </c>
      <c r="K190">
        <v>-1.10245288485074</v>
      </c>
      <c r="L190">
        <v>13.855732459876</v>
      </c>
      <c r="M190">
        <v>63.163171061586802</v>
      </c>
      <c r="N190">
        <v>0.33523116030642902</v>
      </c>
      <c r="O190">
        <v>4.18879020281521</v>
      </c>
      <c r="P190">
        <v>-0.424902795254951</v>
      </c>
      <c r="Q190">
        <v>5.7931123269871803</v>
      </c>
      <c r="R190">
        <v>12.5612731767837</v>
      </c>
      <c r="S190">
        <v>2.6683831069749302</v>
      </c>
      <c r="T190">
        <v>12.545988398892</v>
      </c>
      <c r="U190">
        <v>0.19127333536989699</v>
      </c>
      <c r="V190">
        <v>0.92086614161927305</v>
      </c>
      <c r="W190">
        <v>2</v>
      </c>
      <c r="X190">
        <v>170.26322004490501</v>
      </c>
      <c r="Y190">
        <v>1</v>
      </c>
    </row>
    <row r="191" spans="1:25" x14ac:dyDescent="0.25">
      <c r="A191">
        <v>90</v>
      </c>
      <c r="B191">
        <v>2</v>
      </c>
      <c r="C191" s="1">
        <v>1000000</v>
      </c>
      <c r="D191">
        <v>1</v>
      </c>
      <c r="E191">
        <v>0</v>
      </c>
      <c r="F191">
        <v>0.92500000000000004</v>
      </c>
      <c r="G191">
        <v>4.9249999999999998</v>
      </c>
      <c r="H191">
        <v>0.92500000000000004</v>
      </c>
      <c r="I191">
        <v>0</v>
      </c>
      <c r="J191">
        <v>-1.04197217472461</v>
      </c>
      <c r="K191">
        <v>-1.0394426835203501</v>
      </c>
      <c r="L191">
        <v>14.024312167760201</v>
      </c>
      <c r="M191">
        <v>63.3318070327173</v>
      </c>
      <c r="N191">
        <v>0.36937202784974499</v>
      </c>
      <c r="O191">
        <v>4.1887902035215099</v>
      </c>
      <c r="P191">
        <v>-0.37883203283824601</v>
      </c>
      <c r="Q191">
        <v>5.5898318059602197</v>
      </c>
      <c r="R191">
        <v>12.561289211710401</v>
      </c>
      <c r="S191">
        <v>2.484423462659</v>
      </c>
      <c r="T191">
        <v>12.546052464053901</v>
      </c>
      <c r="U191">
        <v>0.20936169280498201</v>
      </c>
      <c r="V191">
        <v>0.88844865307215504</v>
      </c>
      <c r="W191">
        <v>2</v>
      </c>
      <c r="X191">
        <v>169.591959092313</v>
      </c>
      <c r="Y191">
        <v>1</v>
      </c>
    </row>
    <row r="192" spans="1:25" x14ac:dyDescent="0.25">
      <c r="A192">
        <v>90</v>
      </c>
      <c r="B192">
        <v>2</v>
      </c>
      <c r="C192" s="1">
        <v>1000000</v>
      </c>
      <c r="D192">
        <v>1</v>
      </c>
      <c r="E192">
        <v>0</v>
      </c>
      <c r="F192">
        <v>0.95</v>
      </c>
      <c r="G192">
        <v>4.95</v>
      </c>
      <c r="H192">
        <v>0.95</v>
      </c>
      <c r="I192">
        <v>0</v>
      </c>
      <c r="J192">
        <v>-0.98160954245690502</v>
      </c>
      <c r="K192">
        <v>-0.97957022398259397</v>
      </c>
      <c r="L192">
        <v>14.1821880221933</v>
      </c>
      <c r="M192">
        <v>63.489720547016603</v>
      </c>
      <c r="N192">
        <v>0.42102963371436197</v>
      </c>
      <c r="O192">
        <v>4.1887902091751004</v>
      </c>
      <c r="P192">
        <v>-0.332662396161788</v>
      </c>
      <c r="Q192">
        <v>5.3871789597854196</v>
      </c>
      <c r="R192">
        <v>12.5613000756549</v>
      </c>
      <c r="S192">
        <v>2.3075715432509898</v>
      </c>
      <c r="T192">
        <v>12.5460958762816</v>
      </c>
      <c r="U192">
        <v>-5.8612940363344801E-2</v>
      </c>
      <c r="V192">
        <v>0.85727370484212895</v>
      </c>
      <c r="W192">
        <v>2</v>
      </c>
      <c r="X192">
        <v>169.02786505652199</v>
      </c>
      <c r="Y192">
        <v>1</v>
      </c>
    </row>
    <row r="193" spans="1:25" x14ac:dyDescent="0.25">
      <c r="A193">
        <v>90</v>
      </c>
      <c r="B193">
        <v>2</v>
      </c>
      <c r="C193" s="1">
        <v>1000000</v>
      </c>
      <c r="D193">
        <v>1</v>
      </c>
      <c r="E193">
        <v>0</v>
      </c>
      <c r="F193">
        <v>0.97499999999999998</v>
      </c>
      <c r="G193">
        <v>4.9749999999999996</v>
      </c>
      <c r="H193">
        <v>0.97499999999999998</v>
      </c>
      <c r="I193">
        <v>0</v>
      </c>
      <c r="J193">
        <v>-0.92230517586564797</v>
      </c>
      <c r="K193">
        <v>-0.91960742304476994</v>
      </c>
      <c r="L193">
        <v>14.3315066797065</v>
      </c>
      <c r="M193">
        <v>63.639067622147003</v>
      </c>
      <c r="N193">
        <v>0.30423480126462399</v>
      </c>
      <c r="O193">
        <v>4.1887901999588903</v>
      </c>
      <c r="P193">
        <v>-0.28534560441671702</v>
      </c>
      <c r="Q193">
        <v>5.1713455104630297</v>
      </c>
      <c r="R193">
        <v>12.561308583189501</v>
      </c>
      <c r="S193">
        <v>2.1262578746407099</v>
      </c>
      <c r="T193">
        <v>12.546129864021699</v>
      </c>
      <c r="U193">
        <v>-0.238109234889847</v>
      </c>
      <c r="V193">
        <v>0.82277392251654102</v>
      </c>
      <c r="W193">
        <v>2</v>
      </c>
      <c r="X193">
        <v>168.16634263475501</v>
      </c>
      <c r="Y193">
        <v>1</v>
      </c>
    </row>
    <row r="194" spans="1:25" x14ac:dyDescent="0.25">
      <c r="A194">
        <v>90</v>
      </c>
      <c r="B194">
        <v>2</v>
      </c>
      <c r="C194" s="1">
        <v>1000000</v>
      </c>
      <c r="D194">
        <v>1</v>
      </c>
      <c r="E194">
        <v>0</v>
      </c>
      <c r="F194">
        <v>1</v>
      </c>
      <c r="G194">
        <v>5</v>
      </c>
      <c r="H194">
        <v>1</v>
      </c>
      <c r="I194">
        <v>0</v>
      </c>
      <c r="J194">
        <v>-0.86617024289903499</v>
      </c>
      <c r="K194">
        <v>-0.86385319796625704</v>
      </c>
      <c r="L194">
        <v>14.472225046265001</v>
      </c>
      <c r="M194">
        <v>63.779801878623402</v>
      </c>
      <c r="N194">
        <v>0.41709118155282998</v>
      </c>
      <c r="O194">
        <v>4.1887902041513998</v>
      </c>
      <c r="P194">
        <v>-0.24016792232576001</v>
      </c>
      <c r="Q194">
        <v>4.9582912769699297</v>
      </c>
      <c r="R194">
        <v>12.5613145868275</v>
      </c>
      <c r="S194">
        <v>1.95470918641244</v>
      </c>
      <c r="T194">
        <v>12.5461538479013</v>
      </c>
      <c r="U194">
        <v>-0.23942064079624401</v>
      </c>
      <c r="V194">
        <v>0.78913004485104699</v>
      </c>
      <c r="W194">
        <v>2</v>
      </c>
      <c r="X194">
        <v>167.419223055223</v>
      </c>
      <c r="Y194">
        <v>1</v>
      </c>
    </row>
    <row r="195" spans="1:25" x14ac:dyDescent="0.25">
      <c r="A195">
        <v>90</v>
      </c>
      <c r="B195">
        <v>2</v>
      </c>
      <c r="C195" s="1">
        <v>1000000</v>
      </c>
      <c r="D195">
        <v>1</v>
      </c>
      <c r="E195">
        <v>0</v>
      </c>
      <c r="F195">
        <v>1.0249999999999999</v>
      </c>
      <c r="G195">
        <v>5.0250000000000004</v>
      </c>
      <c r="H195">
        <v>1.0249999999999999</v>
      </c>
      <c r="I195">
        <v>0</v>
      </c>
      <c r="J195">
        <v>-0.81126710455192097</v>
      </c>
      <c r="K195">
        <v>-0.81137065236294204</v>
      </c>
      <c r="L195">
        <v>14.6042630389398</v>
      </c>
      <c r="M195">
        <v>63.911841869683599</v>
      </c>
      <c r="N195">
        <v>0.52318722023589603</v>
      </c>
      <c r="O195">
        <v>4.1887901957366198</v>
      </c>
      <c r="P195">
        <v>-0.19561469274002599</v>
      </c>
      <c r="Q195">
        <v>4.74744854444348</v>
      </c>
      <c r="R195">
        <v>12.5613170469894</v>
      </c>
      <c r="S195">
        <v>1.7920106728687599</v>
      </c>
      <c r="T195">
        <v>12.546163676286399</v>
      </c>
      <c r="U195">
        <v>-0.225142593871138</v>
      </c>
      <c r="V195">
        <v>0.75581396136422896</v>
      </c>
      <c r="W195">
        <v>2</v>
      </c>
      <c r="X195">
        <v>166.49843587310201</v>
      </c>
      <c r="Y195">
        <v>1</v>
      </c>
    </row>
    <row r="196" spans="1:25" x14ac:dyDescent="0.25">
      <c r="A196">
        <v>90</v>
      </c>
      <c r="B196">
        <v>2</v>
      </c>
      <c r="C196" s="1">
        <v>1000000</v>
      </c>
      <c r="D196">
        <v>1</v>
      </c>
      <c r="E196">
        <v>0</v>
      </c>
      <c r="F196">
        <v>1.05</v>
      </c>
      <c r="G196">
        <v>5.05</v>
      </c>
      <c r="H196">
        <v>1.05</v>
      </c>
      <c r="I196">
        <v>0</v>
      </c>
      <c r="J196">
        <v>-0.75595308985290999</v>
      </c>
      <c r="K196">
        <v>-0.75499792331471605</v>
      </c>
      <c r="L196">
        <v>14.7275614880948</v>
      </c>
      <c r="M196">
        <v>64.0351405611096</v>
      </c>
      <c r="N196">
        <v>0.46376922914225899</v>
      </c>
      <c r="O196">
        <v>4.1887902052094796</v>
      </c>
      <c r="P196">
        <v>-0.147260241915771</v>
      </c>
      <c r="Q196">
        <v>4.5060591878861</v>
      </c>
      <c r="R196">
        <v>12.5613198819259</v>
      </c>
      <c r="S196">
        <v>1.6143710464091501</v>
      </c>
      <c r="T196">
        <v>12.546175001924</v>
      </c>
      <c r="U196">
        <v>-0.18692387458298301</v>
      </c>
      <c r="V196">
        <v>0.71697587313492706</v>
      </c>
      <c r="W196">
        <v>2</v>
      </c>
      <c r="X196">
        <v>165.39827825207101</v>
      </c>
      <c r="Y196">
        <v>1</v>
      </c>
    </row>
    <row r="197" spans="1:25" x14ac:dyDescent="0.25">
      <c r="A197">
        <v>90</v>
      </c>
      <c r="B197">
        <v>2</v>
      </c>
      <c r="C197" s="1">
        <v>1000000</v>
      </c>
      <c r="D197">
        <v>1</v>
      </c>
      <c r="E197">
        <v>0</v>
      </c>
      <c r="F197">
        <v>1.075</v>
      </c>
      <c r="G197">
        <v>5.0750000000000002</v>
      </c>
      <c r="H197">
        <v>1.075</v>
      </c>
      <c r="I197">
        <v>0</v>
      </c>
      <c r="J197">
        <v>-0.70009334936190204</v>
      </c>
      <c r="K197">
        <v>-0.69828249679564902</v>
      </c>
      <c r="L197">
        <v>14.841938158507199</v>
      </c>
      <c r="M197">
        <v>64.1495151203993</v>
      </c>
      <c r="N197">
        <v>0.54594447267374502</v>
      </c>
      <c r="O197">
        <v>4.1887902053946098</v>
      </c>
      <c r="P197">
        <v>-9.7001241361297397E-2</v>
      </c>
      <c r="Q197">
        <v>4.2482503501370603</v>
      </c>
      <c r="R197">
        <v>12.561321380943699</v>
      </c>
      <c r="S197">
        <v>1.4349092036009501</v>
      </c>
      <c r="T197">
        <v>12.5461809905312</v>
      </c>
      <c r="U197">
        <v>-0.20614745273221599</v>
      </c>
      <c r="V197">
        <v>0.67544009969824403</v>
      </c>
      <c r="W197">
        <v>2</v>
      </c>
      <c r="X197">
        <v>164.297614695916</v>
      </c>
      <c r="Y197">
        <v>1</v>
      </c>
    </row>
    <row r="198" spans="1:25" x14ac:dyDescent="0.25">
      <c r="A198">
        <v>90</v>
      </c>
      <c r="B198">
        <v>2</v>
      </c>
      <c r="C198" s="1">
        <v>1000000</v>
      </c>
      <c r="D198">
        <v>1</v>
      </c>
      <c r="E198">
        <v>0</v>
      </c>
      <c r="F198">
        <v>1.1000000000000001</v>
      </c>
      <c r="G198">
        <v>5.0999999999999996</v>
      </c>
      <c r="H198">
        <v>1.1000000000000001</v>
      </c>
      <c r="I198">
        <v>0</v>
      </c>
      <c r="J198">
        <v>-0.41226193255432397</v>
      </c>
      <c r="K198">
        <v>-1.6132005640480101E-2</v>
      </c>
      <c r="L198">
        <v>14.8837728645958</v>
      </c>
      <c r="M198">
        <v>64.191041882677197</v>
      </c>
      <c r="N198">
        <v>5.54353830951542E-4</v>
      </c>
      <c r="O198">
        <v>4.1887902047863399</v>
      </c>
      <c r="P198">
        <v>0.51350124909824402</v>
      </c>
      <c r="Q198">
        <v>0.101781228759647</v>
      </c>
      <c r="R198">
        <v>12.561324173991</v>
      </c>
      <c r="S198">
        <v>8.1956557025460598E-4</v>
      </c>
      <c r="T198">
        <v>12.546192149041699</v>
      </c>
      <c r="U198">
        <v>-2.1106570126813201E-3</v>
      </c>
      <c r="V198">
        <v>7.8347181086373605E-3</v>
      </c>
      <c r="W198">
        <v>2</v>
      </c>
      <c r="X198">
        <v>147.50773898961199</v>
      </c>
      <c r="Y198">
        <v>1</v>
      </c>
    </row>
    <row r="199" spans="1:25" x14ac:dyDescent="0.25">
      <c r="A199">
        <v>90</v>
      </c>
      <c r="B199">
        <v>2</v>
      </c>
      <c r="C199" s="1">
        <v>1000000</v>
      </c>
      <c r="D199">
        <v>1</v>
      </c>
      <c r="E199">
        <v>0</v>
      </c>
      <c r="F199">
        <v>1.125</v>
      </c>
      <c r="G199">
        <v>5.125</v>
      </c>
      <c r="H199">
        <v>1.125</v>
      </c>
      <c r="I199">
        <v>0</v>
      </c>
      <c r="J199">
        <v>-6.4096903708103906E-2</v>
      </c>
      <c r="K199">
        <v>-2.1387955659089901E-2</v>
      </c>
      <c r="L199">
        <v>14.898936079495501</v>
      </c>
      <c r="M199">
        <v>64.205975709855906</v>
      </c>
      <c r="N199" s="1">
        <v>3.6331270730578501E-6</v>
      </c>
      <c r="O199">
        <v>4.1887902047863301</v>
      </c>
      <c r="P199">
        <v>0.46636467239620799</v>
      </c>
      <c r="Q199">
        <v>0.13504943417058701</v>
      </c>
      <c r="R199">
        <v>12.561324577185101</v>
      </c>
      <c r="S199">
        <v>1.42580573131274E-3</v>
      </c>
      <c r="T199">
        <v>12.5461937598914</v>
      </c>
      <c r="U199">
        <v>-1.1128604249147999E-2</v>
      </c>
      <c r="V199" s="1">
        <v>2.7013537092544098E-5</v>
      </c>
      <c r="W199">
        <v>2</v>
      </c>
      <c r="X199">
        <v>149.05797533856</v>
      </c>
      <c r="Y199">
        <v>1</v>
      </c>
    </row>
    <row r="200" spans="1:25" x14ac:dyDescent="0.25">
      <c r="A200">
        <v>90</v>
      </c>
      <c r="B200">
        <v>2</v>
      </c>
      <c r="C200" s="1">
        <v>1000000</v>
      </c>
      <c r="D200">
        <v>1</v>
      </c>
      <c r="E200">
        <v>0</v>
      </c>
      <c r="F200">
        <v>1.1499999999999999</v>
      </c>
      <c r="G200">
        <v>5.15</v>
      </c>
      <c r="H200">
        <v>1.1499999999999999</v>
      </c>
      <c r="I200">
        <v>0</v>
      </c>
      <c r="J200">
        <v>-0.13657217298400401</v>
      </c>
      <c r="K200">
        <v>-0.13452457239850499</v>
      </c>
      <c r="L200">
        <v>14.9046640440164</v>
      </c>
      <c r="M200">
        <v>64.211450511930707</v>
      </c>
      <c r="N200">
        <v>1.2347802998345501E-4</v>
      </c>
      <c r="O200">
        <v>4.1887902047863497</v>
      </c>
      <c r="P200">
        <v>0.45758824154387501</v>
      </c>
      <c r="Q200">
        <v>0.84518777092800601</v>
      </c>
      <c r="R200">
        <v>12.5613246153048</v>
      </c>
      <c r="S200">
        <v>-1.2029553187026501E-4</v>
      </c>
      <c r="T200">
        <v>12.5461939121871</v>
      </c>
      <c r="U200">
        <v>-7.9265588708862605E-4</v>
      </c>
      <c r="V200">
        <v>1.36274474719794E-4</v>
      </c>
      <c r="W200">
        <v>2</v>
      </c>
      <c r="X200">
        <v>149.308898812991</v>
      </c>
      <c r="Y200">
        <v>1</v>
      </c>
    </row>
    <row r="201" spans="1:25" x14ac:dyDescent="0.25">
      <c r="A201">
        <v>90</v>
      </c>
      <c r="B201">
        <v>2</v>
      </c>
      <c r="C201" s="1">
        <v>1000000</v>
      </c>
      <c r="D201">
        <v>1</v>
      </c>
      <c r="E201">
        <v>0</v>
      </c>
      <c r="F201">
        <v>1.175</v>
      </c>
      <c r="G201">
        <v>5.1749999999999998</v>
      </c>
      <c r="H201">
        <v>1.175</v>
      </c>
      <c r="I201">
        <v>0</v>
      </c>
      <c r="J201">
        <v>-7.9861433246006697E-2</v>
      </c>
      <c r="K201">
        <v>-5.5676107040989201E-2</v>
      </c>
      <c r="L201">
        <v>14.9224396204729</v>
      </c>
      <c r="M201">
        <v>64.228790276906693</v>
      </c>
      <c r="N201" s="1">
        <v>6.6005971296690197E-6</v>
      </c>
      <c r="O201">
        <v>4.1887902047863399</v>
      </c>
      <c r="P201">
        <v>0.45176372476988302</v>
      </c>
      <c r="Q201">
        <v>0.34984695563059498</v>
      </c>
      <c r="R201">
        <v>12.561324618813501</v>
      </c>
      <c r="S201" s="1">
        <v>5.2367882582245801E-5</v>
      </c>
      <c r="T201">
        <v>12.5461939262052</v>
      </c>
      <c r="U201">
        <v>-6.2745297835740104E-3</v>
      </c>
      <c r="V201" s="1">
        <v>3.2685690410629802E-7</v>
      </c>
      <c r="W201">
        <v>2</v>
      </c>
      <c r="X201">
        <v>149.377448946812</v>
      </c>
      <c r="Y201">
        <v>1</v>
      </c>
    </row>
    <row r="202" spans="1:25" x14ac:dyDescent="0.25">
      <c r="A202">
        <v>90</v>
      </c>
      <c r="B202">
        <v>2</v>
      </c>
      <c r="C202" s="1">
        <v>1000000</v>
      </c>
      <c r="D202">
        <v>1</v>
      </c>
      <c r="E202">
        <v>0</v>
      </c>
      <c r="F202">
        <v>1.2</v>
      </c>
      <c r="G202">
        <v>5.2</v>
      </c>
      <c r="H202">
        <v>1.2</v>
      </c>
      <c r="I202">
        <v>0</v>
      </c>
      <c r="J202">
        <v>-0.89033823597376305</v>
      </c>
      <c r="K202">
        <v>-5.4067520809772403E-2</v>
      </c>
      <c r="L202">
        <v>14.9163983657684</v>
      </c>
      <c r="M202">
        <v>64.222498425211498</v>
      </c>
      <c r="N202">
        <v>4.1897135112802303E-3</v>
      </c>
      <c r="O202">
        <v>4.1887902047618297</v>
      </c>
      <c r="P202">
        <v>0.45023024125517602</v>
      </c>
      <c r="Q202">
        <v>0.33970453005109802</v>
      </c>
      <c r="R202">
        <v>12.5613246180615</v>
      </c>
      <c r="S202" s="1">
        <v>-2.6036226393051E-5</v>
      </c>
      <c r="T202">
        <v>12.5461939232007</v>
      </c>
      <c r="U202">
        <v>-1.01830519275189E-2</v>
      </c>
      <c r="V202">
        <v>6.9871051517925002E-4</v>
      </c>
      <c r="W202">
        <v>2</v>
      </c>
      <c r="X202">
        <v>149.745306387178</v>
      </c>
      <c r="Y202">
        <v>1</v>
      </c>
    </row>
    <row r="203" spans="1:25" x14ac:dyDescent="0.25">
      <c r="A203">
        <v>90</v>
      </c>
      <c r="B203">
        <v>2</v>
      </c>
      <c r="C203" s="1">
        <v>1000000</v>
      </c>
      <c r="D203">
        <v>1</v>
      </c>
      <c r="E203">
        <v>0</v>
      </c>
      <c r="F203">
        <v>1.2250000000000001</v>
      </c>
      <c r="G203">
        <v>5.2249999999999996</v>
      </c>
      <c r="H203">
        <v>1.2250000000000001</v>
      </c>
      <c r="I203">
        <v>0</v>
      </c>
      <c r="J203">
        <v>-9.6991304512384996E-2</v>
      </c>
      <c r="K203">
        <v>-3.9459507283538697E-2</v>
      </c>
      <c r="L203">
        <v>14.9790525509771</v>
      </c>
      <c r="M203">
        <v>64.284169466443302</v>
      </c>
      <c r="N203" s="1">
        <v>2.9328342571304001E-5</v>
      </c>
      <c r="O203">
        <v>4.1887902047863399</v>
      </c>
      <c r="P203">
        <v>0.424942350440977</v>
      </c>
      <c r="Q203">
        <v>0.247946252810853</v>
      </c>
      <c r="R203">
        <v>12.5613246225297</v>
      </c>
      <c r="S203" s="1">
        <v>3.4961020857698299E-5</v>
      </c>
      <c r="T203">
        <v>12.546193941052</v>
      </c>
      <c r="U203">
        <v>-1.06401532123582E-2</v>
      </c>
      <c r="V203">
        <v>2.8376055009106301E-4</v>
      </c>
      <c r="W203">
        <v>2</v>
      </c>
      <c r="X203">
        <v>150.29026233778799</v>
      </c>
      <c r="Y203">
        <v>1</v>
      </c>
    </row>
    <row r="204" spans="1:25" x14ac:dyDescent="0.25">
      <c r="A204">
        <v>90</v>
      </c>
      <c r="B204">
        <v>2</v>
      </c>
      <c r="C204" s="1">
        <v>1000000</v>
      </c>
      <c r="D204">
        <v>1</v>
      </c>
      <c r="E204">
        <v>0</v>
      </c>
      <c r="F204">
        <v>1.25</v>
      </c>
      <c r="G204">
        <v>5.25</v>
      </c>
      <c r="H204">
        <v>1.25</v>
      </c>
      <c r="I204">
        <v>0</v>
      </c>
      <c r="J204">
        <v>-0.54924649781326396</v>
      </c>
      <c r="K204">
        <v>-4.5114938834006399E-2</v>
      </c>
      <c r="L204">
        <v>14.993558747491599</v>
      </c>
      <c r="M204">
        <v>64.297963280943804</v>
      </c>
      <c r="N204">
        <v>6.9169783531329305E-4</v>
      </c>
      <c r="O204">
        <v>4.1887902047864696</v>
      </c>
      <c r="P204">
        <v>0.420408701561027</v>
      </c>
      <c r="Q204">
        <v>0.28344796993263499</v>
      </c>
      <c r="R204">
        <v>12.561324623119001</v>
      </c>
      <c r="S204" s="1">
        <v>-4.1747193707291403E-5</v>
      </c>
      <c r="T204">
        <v>12.546193943406299</v>
      </c>
      <c r="U204">
        <v>-5.5977467699565298E-3</v>
      </c>
      <c r="V204">
        <v>2.2653431763122199E-4</v>
      </c>
      <c r="W204">
        <v>2</v>
      </c>
      <c r="X204">
        <v>150.40171540903299</v>
      </c>
      <c r="Y204">
        <v>1</v>
      </c>
    </row>
    <row r="205" spans="1:25" x14ac:dyDescent="0.25">
      <c r="A205">
        <v>90</v>
      </c>
      <c r="B205">
        <v>2</v>
      </c>
      <c r="C205" s="1">
        <v>1000000</v>
      </c>
      <c r="D205">
        <v>1</v>
      </c>
      <c r="E205">
        <v>0</v>
      </c>
      <c r="F205">
        <v>1.2749999999999999</v>
      </c>
      <c r="G205">
        <v>5.2750000000000004</v>
      </c>
      <c r="H205">
        <v>1.2749999999999999</v>
      </c>
      <c r="I205">
        <v>0</v>
      </c>
      <c r="J205">
        <v>-0.15899410458426999</v>
      </c>
      <c r="K205">
        <v>-5.8163200266302097E-2</v>
      </c>
      <c r="L205">
        <v>15.0054150256094</v>
      </c>
      <c r="M205">
        <v>64.309156850041205</v>
      </c>
      <c r="N205" s="1">
        <v>6.4767707882992903E-5</v>
      </c>
      <c r="O205">
        <v>4.1887902047863097</v>
      </c>
      <c r="P205">
        <v>0.41661573174765998</v>
      </c>
      <c r="Q205">
        <v>0.36544954247230399</v>
      </c>
      <c r="R205">
        <v>12.5613246226283</v>
      </c>
      <c r="S205" s="1">
        <v>-1.4950454870426401E-6</v>
      </c>
      <c r="T205">
        <v>12.5461939414459</v>
      </c>
      <c r="U205">
        <v>-1.2633488428855E-2</v>
      </c>
      <c r="V205">
        <v>2.28178058094419E-4</v>
      </c>
      <c r="W205">
        <v>2</v>
      </c>
      <c r="X205">
        <v>150.554896146435</v>
      </c>
      <c r="Y205">
        <v>1</v>
      </c>
    </row>
    <row r="206" spans="1:25" x14ac:dyDescent="0.25">
      <c r="A206">
        <v>90</v>
      </c>
      <c r="B206">
        <v>2</v>
      </c>
      <c r="C206" s="1">
        <v>1000000</v>
      </c>
      <c r="D206">
        <v>1</v>
      </c>
      <c r="E206">
        <v>0</v>
      </c>
      <c r="F206">
        <v>1.3</v>
      </c>
      <c r="G206">
        <v>5.3</v>
      </c>
      <c r="H206">
        <v>1.3</v>
      </c>
      <c r="I206">
        <v>0</v>
      </c>
      <c r="J206">
        <v>-0.148151398742498</v>
      </c>
      <c r="K206">
        <v>-2.9056570951103498E-2</v>
      </c>
      <c r="L206">
        <v>14.960274844744401</v>
      </c>
      <c r="M206">
        <v>64.303660868264998</v>
      </c>
      <c r="N206" s="1">
        <v>8.2454985933421595E-5</v>
      </c>
      <c r="O206">
        <v>4.1887902047863204</v>
      </c>
      <c r="P206">
        <v>0.410210773214715</v>
      </c>
      <c r="Q206">
        <v>0.18255977830344899</v>
      </c>
      <c r="R206">
        <v>12.561324624170499</v>
      </c>
      <c r="S206" s="1">
        <v>-1.9603028662583901E-5</v>
      </c>
      <c r="T206">
        <v>12.5461939476073</v>
      </c>
      <c r="U206">
        <v>-1.9060907400339399E-2</v>
      </c>
      <c r="V206">
        <v>1.0841645038135799E-4</v>
      </c>
      <c r="W206">
        <v>2</v>
      </c>
      <c r="X206">
        <v>150.81971890806699</v>
      </c>
      <c r="Y206">
        <v>1</v>
      </c>
    </row>
    <row r="207" spans="1:25" x14ac:dyDescent="0.25">
      <c r="A207">
        <v>120</v>
      </c>
      <c r="B207">
        <v>2</v>
      </c>
      <c r="C207" s="1">
        <v>1000000</v>
      </c>
      <c r="D207">
        <v>1</v>
      </c>
      <c r="E207">
        <v>0</v>
      </c>
      <c r="F207">
        <v>0.3</v>
      </c>
      <c r="G207">
        <v>4.3</v>
      </c>
      <c r="H207">
        <v>0.3</v>
      </c>
      <c r="I207">
        <v>0</v>
      </c>
      <c r="J207">
        <v>9.9799235302427194E-2</v>
      </c>
      <c r="K207">
        <v>0.10052695261790801</v>
      </c>
      <c r="L207">
        <v>-1.86588657690712</v>
      </c>
      <c r="M207">
        <v>55.077125266589398</v>
      </c>
      <c r="N207">
        <v>2.0758871875042301E-2</v>
      </c>
      <c r="O207">
        <v>4.1887902048362697</v>
      </c>
      <c r="P207">
        <v>0.82730065472436298</v>
      </c>
      <c r="Q207">
        <v>13.858393785140001</v>
      </c>
      <c r="R207">
        <v>12.5613245505468</v>
      </c>
      <c r="S207">
        <v>15.270567565854501</v>
      </c>
      <c r="T207">
        <v>12.5461936534671</v>
      </c>
      <c r="U207">
        <v>3.6523539947875397E-2</v>
      </c>
      <c r="V207">
        <v>2</v>
      </c>
      <c r="W207">
        <v>2.2077499999999999</v>
      </c>
      <c r="X207">
        <v>51.0943030400148</v>
      </c>
      <c r="Y207">
        <v>1</v>
      </c>
    </row>
    <row r="208" spans="1:25" x14ac:dyDescent="0.25">
      <c r="A208">
        <v>120</v>
      </c>
      <c r="B208">
        <v>2</v>
      </c>
      <c r="C208" s="1">
        <v>1000000</v>
      </c>
      <c r="D208">
        <v>1</v>
      </c>
      <c r="E208">
        <v>0</v>
      </c>
      <c r="F208">
        <v>0.32500000000000001</v>
      </c>
      <c r="G208">
        <v>4.3250000000000002</v>
      </c>
      <c r="H208">
        <v>0.32500000000000001</v>
      </c>
      <c r="I208">
        <v>0</v>
      </c>
      <c r="J208">
        <v>-4.2347279859282496</v>
      </c>
      <c r="K208">
        <v>-4.2371211227408097</v>
      </c>
      <c r="L208">
        <v>-1.5405020667735001</v>
      </c>
      <c r="M208">
        <v>54.583525367407901</v>
      </c>
      <c r="N208">
        <v>7.18648332067649E-2</v>
      </c>
      <c r="O208">
        <v>4.1887902047674697</v>
      </c>
      <c r="P208">
        <v>-1.1210505341859101</v>
      </c>
      <c r="Q208">
        <v>13.094045892673099</v>
      </c>
      <c r="R208">
        <v>12.5613238177393</v>
      </c>
      <c r="S208">
        <v>13.632606502319099</v>
      </c>
      <c r="T208">
        <v>12.5461907257726</v>
      </c>
      <c r="U208">
        <v>5.8165529192607597E-2</v>
      </c>
      <c r="V208">
        <v>1.9985732571968999</v>
      </c>
      <c r="W208">
        <v>2.0859000000000001</v>
      </c>
      <c r="X208">
        <v>88.664450428562702</v>
      </c>
      <c r="Y208">
        <v>1</v>
      </c>
    </row>
    <row r="209" spans="1:25" x14ac:dyDescent="0.25">
      <c r="A209">
        <v>120</v>
      </c>
      <c r="B209">
        <v>2</v>
      </c>
      <c r="C209" s="1">
        <v>1000000</v>
      </c>
      <c r="D209">
        <v>1</v>
      </c>
      <c r="E209">
        <v>0</v>
      </c>
      <c r="F209">
        <v>0.35</v>
      </c>
      <c r="G209">
        <v>4.3499999999999996</v>
      </c>
      <c r="H209">
        <v>0.35</v>
      </c>
      <c r="I209">
        <v>0</v>
      </c>
      <c r="J209">
        <v>-6.9448555065049602</v>
      </c>
      <c r="K209">
        <v>-6.9357218143709201</v>
      </c>
      <c r="L209">
        <v>-0.62639078677830196</v>
      </c>
      <c r="M209">
        <v>54.811439246841402</v>
      </c>
      <c r="N209">
        <v>5.7106090527047501E-2</v>
      </c>
      <c r="O209">
        <v>4.18879020346973</v>
      </c>
      <c r="P209">
        <v>-2.67726937246369</v>
      </c>
      <c r="Q209">
        <v>12.4178843361082</v>
      </c>
      <c r="R209">
        <v>12.561309353348101</v>
      </c>
      <c r="S209">
        <v>12.2603360125126</v>
      </c>
      <c r="T209">
        <v>12.5461329389722</v>
      </c>
      <c r="U209">
        <v>6.8829971146560101E-2</v>
      </c>
      <c r="V209">
        <v>1.9315183979067001</v>
      </c>
      <c r="W209">
        <v>2</v>
      </c>
      <c r="X209">
        <v>122.072412696315</v>
      </c>
      <c r="Y209">
        <v>1</v>
      </c>
    </row>
    <row r="210" spans="1:25" x14ac:dyDescent="0.25">
      <c r="A210">
        <v>120</v>
      </c>
      <c r="B210">
        <v>2</v>
      </c>
      <c r="C210" s="1">
        <v>1000000</v>
      </c>
      <c r="D210">
        <v>1</v>
      </c>
      <c r="E210">
        <v>0</v>
      </c>
      <c r="F210">
        <v>0.375</v>
      </c>
      <c r="G210">
        <v>4.375</v>
      </c>
      <c r="H210">
        <v>0.375</v>
      </c>
      <c r="I210">
        <v>0</v>
      </c>
      <c r="J210">
        <v>-7.3789241928442797</v>
      </c>
      <c r="K210">
        <v>-7.3759539430708596</v>
      </c>
      <c r="L210">
        <v>0.51529297154976095</v>
      </c>
      <c r="M210">
        <v>55.4292441308409</v>
      </c>
      <c r="N210">
        <v>2.9190255824598301E-2</v>
      </c>
      <c r="O210">
        <v>4.1887901993891399</v>
      </c>
      <c r="P210">
        <v>-3.2158807309040398</v>
      </c>
      <c r="Q210">
        <v>11.876170445333701</v>
      </c>
      <c r="R210">
        <v>12.5612679739765</v>
      </c>
      <c r="S210">
        <v>11.212922105499301</v>
      </c>
      <c r="T210">
        <v>12.545967620747</v>
      </c>
      <c r="U210">
        <v>7.2622293273208696E-2</v>
      </c>
      <c r="V210">
        <v>1.8514906347639399</v>
      </c>
      <c r="W210">
        <v>2</v>
      </c>
      <c r="X210">
        <v>146.10915912312001</v>
      </c>
      <c r="Y210">
        <v>1</v>
      </c>
    </row>
    <row r="211" spans="1:25" x14ac:dyDescent="0.25">
      <c r="A211">
        <v>120</v>
      </c>
      <c r="B211">
        <v>2</v>
      </c>
      <c r="C211" s="1">
        <v>1000000</v>
      </c>
      <c r="D211">
        <v>1</v>
      </c>
      <c r="E211">
        <v>0</v>
      </c>
      <c r="F211">
        <v>0.4</v>
      </c>
      <c r="G211">
        <v>4.4000000000000004</v>
      </c>
      <c r="H211">
        <v>0.4</v>
      </c>
      <c r="I211">
        <v>0</v>
      </c>
      <c r="J211">
        <v>-6.9092542641056998</v>
      </c>
      <c r="K211">
        <v>-6.8938805762580904</v>
      </c>
      <c r="L211">
        <v>1.63911573395613</v>
      </c>
      <c r="M211">
        <v>56.142089211370902</v>
      </c>
      <c r="N211">
        <v>7.4107929113351997E-2</v>
      </c>
      <c r="O211">
        <v>4.1887901987244298</v>
      </c>
      <c r="P211">
        <v>-3.2157183935111902</v>
      </c>
      <c r="Q211">
        <v>11.432165113424899</v>
      </c>
      <c r="R211">
        <v>12.561248110757401</v>
      </c>
      <c r="S211">
        <v>10.3911411537582</v>
      </c>
      <c r="T211">
        <v>12.545888241321901</v>
      </c>
      <c r="U211">
        <v>9.2578368819532603E-2</v>
      </c>
      <c r="V211">
        <v>1.78086665921163</v>
      </c>
      <c r="W211">
        <v>2</v>
      </c>
      <c r="X211">
        <v>160.907682704428</v>
      </c>
      <c r="Y211">
        <v>1</v>
      </c>
    </row>
    <row r="212" spans="1:25" x14ac:dyDescent="0.25">
      <c r="A212">
        <v>120</v>
      </c>
      <c r="B212">
        <v>2</v>
      </c>
      <c r="C212" s="1">
        <v>1000000</v>
      </c>
      <c r="D212">
        <v>1</v>
      </c>
      <c r="E212">
        <v>0</v>
      </c>
      <c r="F212">
        <v>0.42499999999999999</v>
      </c>
      <c r="G212">
        <v>4.4249999999999998</v>
      </c>
      <c r="H212">
        <v>0.42499999999999999</v>
      </c>
      <c r="I212">
        <v>0</v>
      </c>
      <c r="J212">
        <v>-6.2579263216459102</v>
      </c>
      <c r="K212">
        <v>-6.24854151790319</v>
      </c>
      <c r="L212">
        <v>2.67101602503101</v>
      </c>
      <c r="M212">
        <v>56.841771545593502</v>
      </c>
      <c r="N212">
        <v>2.2073844650187701E-2</v>
      </c>
      <c r="O212">
        <v>4.1887902047831398</v>
      </c>
      <c r="P212">
        <v>-3.0517900067383699</v>
      </c>
      <c r="Q212">
        <v>11.060143585869801</v>
      </c>
      <c r="R212">
        <v>12.5613101960921</v>
      </c>
      <c r="S212">
        <v>9.7262193257679392</v>
      </c>
      <c r="T212">
        <v>12.5461363021337</v>
      </c>
      <c r="U212">
        <v>0.102548197031073</v>
      </c>
      <c r="V212">
        <v>1.72158128346525</v>
      </c>
      <c r="W212">
        <v>2</v>
      </c>
      <c r="X212">
        <v>170.4721287557</v>
      </c>
      <c r="Y212">
        <v>1</v>
      </c>
    </row>
    <row r="213" spans="1:25" x14ac:dyDescent="0.25">
      <c r="A213">
        <v>120</v>
      </c>
      <c r="B213">
        <v>2</v>
      </c>
      <c r="C213" s="1">
        <v>1000000</v>
      </c>
      <c r="D213">
        <v>1</v>
      </c>
      <c r="E213">
        <v>0</v>
      </c>
      <c r="F213">
        <v>0.45</v>
      </c>
      <c r="G213">
        <v>4.45</v>
      </c>
      <c r="H213">
        <v>0.45</v>
      </c>
      <c r="I213">
        <v>0</v>
      </c>
      <c r="J213">
        <v>-5.6362907279751999</v>
      </c>
      <c r="K213">
        <v>-5.6372186543669898</v>
      </c>
      <c r="L213">
        <v>3.6036039681409999</v>
      </c>
      <c r="M213">
        <v>57.4941249645235</v>
      </c>
      <c r="N213">
        <v>0.14318719517627501</v>
      </c>
      <c r="O213">
        <v>4.1887901262790201</v>
      </c>
      <c r="P213">
        <v>-2.8495998501267801</v>
      </c>
      <c r="Q213">
        <v>10.7376406460209</v>
      </c>
      <c r="R213">
        <v>12.5612243633741</v>
      </c>
      <c r="S213">
        <v>9.1664167673060408</v>
      </c>
      <c r="T213">
        <v>12.545793338005501</v>
      </c>
      <c r="U213">
        <v>0.12621142364604601</v>
      </c>
      <c r="V213">
        <v>1.66696342361915</v>
      </c>
      <c r="W213">
        <v>2</v>
      </c>
      <c r="X213">
        <v>171.14638301846799</v>
      </c>
      <c r="Y213">
        <v>1</v>
      </c>
    </row>
    <row r="214" spans="1:25" x14ac:dyDescent="0.25">
      <c r="A214">
        <v>120</v>
      </c>
      <c r="B214">
        <v>2</v>
      </c>
      <c r="C214" s="1">
        <v>1000000</v>
      </c>
      <c r="D214">
        <v>1</v>
      </c>
      <c r="E214">
        <v>0</v>
      </c>
      <c r="F214">
        <v>0.47499999999999998</v>
      </c>
      <c r="G214">
        <v>4.4749999999999996</v>
      </c>
      <c r="H214">
        <v>0.47499999999999998</v>
      </c>
      <c r="I214">
        <v>0</v>
      </c>
      <c r="J214">
        <v>-5.1060179729812898</v>
      </c>
      <c r="K214">
        <v>-5.0991063347810899</v>
      </c>
      <c r="L214">
        <v>4.4466434653212001</v>
      </c>
      <c r="M214">
        <v>58.091407492939503</v>
      </c>
      <c r="N214">
        <v>0.132220974272793</v>
      </c>
      <c r="O214">
        <v>4.1887901796050997</v>
      </c>
      <c r="P214">
        <v>-2.6505015606906102</v>
      </c>
      <c r="Q214">
        <v>10.445699189983401</v>
      </c>
      <c r="R214">
        <v>12.561246007531899</v>
      </c>
      <c r="S214">
        <v>8.6747314110752303</v>
      </c>
      <c r="T214">
        <v>12.5458798259997</v>
      </c>
      <c r="U214">
        <v>0.142790448976121</v>
      </c>
      <c r="V214">
        <v>1.620357041636</v>
      </c>
      <c r="W214">
        <v>2</v>
      </c>
      <c r="X214">
        <v>0.25675407422051699</v>
      </c>
      <c r="Y214">
        <v>1</v>
      </c>
    </row>
    <row r="215" spans="1:25" x14ac:dyDescent="0.25">
      <c r="A215">
        <v>120</v>
      </c>
      <c r="B215">
        <v>2</v>
      </c>
      <c r="C215" s="1">
        <v>1000000</v>
      </c>
      <c r="D215">
        <v>1</v>
      </c>
      <c r="E215">
        <v>0</v>
      </c>
      <c r="F215">
        <v>0.5</v>
      </c>
      <c r="G215">
        <v>4.5</v>
      </c>
      <c r="H215">
        <v>0.5</v>
      </c>
      <c r="I215">
        <v>0</v>
      </c>
      <c r="J215">
        <v>-4.6435653066057601</v>
      </c>
      <c r="K215">
        <v>-4.6369762531649101</v>
      </c>
      <c r="L215">
        <v>5.21124371100285</v>
      </c>
      <c r="M215">
        <v>58.639213941525199</v>
      </c>
      <c r="N215">
        <v>1.01053582347197E-2</v>
      </c>
      <c r="O215">
        <v>4.1887902047864101</v>
      </c>
      <c r="P215">
        <v>-2.4655460627335799</v>
      </c>
      <c r="Q215">
        <v>10.180942518505001</v>
      </c>
      <c r="R215">
        <v>12.561293791204101</v>
      </c>
      <c r="S215">
        <v>8.2407814298164404</v>
      </c>
      <c r="T215">
        <v>12.546070755294901</v>
      </c>
      <c r="U215">
        <v>0.15359438295188199</v>
      </c>
      <c r="V215">
        <v>1.5751374399250699</v>
      </c>
      <c r="W215">
        <v>2</v>
      </c>
      <c r="X215">
        <v>-171.30834540486401</v>
      </c>
      <c r="Y215">
        <v>1</v>
      </c>
    </row>
    <row r="216" spans="1:25" x14ac:dyDescent="0.25">
      <c r="A216">
        <v>120</v>
      </c>
      <c r="B216">
        <v>2</v>
      </c>
      <c r="C216" s="1">
        <v>1000000</v>
      </c>
      <c r="D216">
        <v>1</v>
      </c>
      <c r="E216">
        <v>0</v>
      </c>
      <c r="F216">
        <v>0.52500000000000002</v>
      </c>
      <c r="G216">
        <v>4.5250000000000004</v>
      </c>
      <c r="H216">
        <v>0.52500000000000002</v>
      </c>
      <c r="I216">
        <v>0</v>
      </c>
      <c r="J216">
        <v>-4.2504862522295301</v>
      </c>
      <c r="K216">
        <v>-4.2434935310511204</v>
      </c>
      <c r="L216">
        <v>5.9092684611417896</v>
      </c>
      <c r="M216">
        <v>59.142067336782603</v>
      </c>
      <c r="N216">
        <v>4.0066059141249197E-3</v>
      </c>
      <c r="O216">
        <v>4.1887902047847598</v>
      </c>
      <c r="P216">
        <v>-2.3001626090240501</v>
      </c>
      <c r="Q216">
        <v>9.9368390543872707</v>
      </c>
      <c r="R216">
        <v>12.561307449949799</v>
      </c>
      <c r="S216">
        <v>7.8503585268942704</v>
      </c>
      <c r="T216">
        <v>12.5461253298421</v>
      </c>
      <c r="U216">
        <v>0.163997396534101</v>
      </c>
      <c r="V216">
        <v>1.5348485096951201</v>
      </c>
      <c r="W216">
        <v>2</v>
      </c>
      <c r="X216">
        <v>-164.273953249968</v>
      </c>
      <c r="Y216">
        <v>1</v>
      </c>
    </row>
    <row r="217" spans="1:25" x14ac:dyDescent="0.25">
      <c r="A217">
        <v>120</v>
      </c>
      <c r="B217">
        <v>2</v>
      </c>
      <c r="C217" s="1">
        <v>1000000</v>
      </c>
      <c r="D217">
        <v>1</v>
      </c>
      <c r="E217">
        <v>0</v>
      </c>
      <c r="F217">
        <v>0.55000000000000004</v>
      </c>
      <c r="G217">
        <v>4.55</v>
      </c>
      <c r="H217">
        <v>0.55000000000000004</v>
      </c>
      <c r="I217">
        <v>0</v>
      </c>
      <c r="J217">
        <v>-3.9097288599848601</v>
      </c>
      <c r="K217">
        <v>-3.9037655444444099</v>
      </c>
      <c r="L217">
        <v>6.5472081550124903</v>
      </c>
      <c r="M217">
        <v>59.603488383004297</v>
      </c>
      <c r="N217">
        <v>0.24854305851966901</v>
      </c>
      <c r="O217">
        <v>4.1887901951407001</v>
      </c>
      <c r="P217">
        <v>-2.14957625721074</v>
      </c>
      <c r="Q217">
        <v>9.7115619638784096</v>
      </c>
      <c r="R217">
        <v>12.5612126916485</v>
      </c>
      <c r="S217">
        <v>7.4980465970049401</v>
      </c>
      <c r="T217">
        <v>12.5457467217926</v>
      </c>
      <c r="U217">
        <v>0.18491593461085301</v>
      </c>
      <c r="V217">
        <v>1.4976352149429599</v>
      </c>
      <c r="W217">
        <v>2</v>
      </c>
      <c r="X217">
        <v>-172.93138704322499</v>
      </c>
      <c r="Y217">
        <v>1</v>
      </c>
    </row>
    <row r="218" spans="1:25" x14ac:dyDescent="0.25">
      <c r="A218">
        <v>120</v>
      </c>
      <c r="B218">
        <v>2</v>
      </c>
      <c r="C218" s="1">
        <v>1000000</v>
      </c>
      <c r="D218">
        <v>1</v>
      </c>
      <c r="E218">
        <v>0</v>
      </c>
      <c r="F218">
        <v>0.57499999999999996</v>
      </c>
      <c r="G218">
        <v>4.5750000000000002</v>
      </c>
      <c r="H218">
        <v>0.57499999999999996</v>
      </c>
      <c r="I218">
        <v>0</v>
      </c>
      <c r="J218">
        <v>-3.6131720611412699</v>
      </c>
      <c r="K218">
        <v>-3.6088529799661599</v>
      </c>
      <c r="L218">
        <v>7.13780386798694</v>
      </c>
      <c r="M218">
        <v>60.031536372530503</v>
      </c>
      <c r="N218">
        <v>0.28028364499214298</v>
      </c>
      <c r="O218">
        <v>4.1887901772462497</v>
      </c>
      <c r="P218">
        <v>-2.0143275244604801</v>
      </c>
      <c r="Q218">
        <v>9.4988665027393999</v>
      </c>
      <c r="R218">
        <v>12.561203792734</v>
      </c>
      <c r="S218">
        <v>7.1730302771071601</v>
      </c>
      <c r="T218">
        <v>12.5457111633048</v>
      </c>
      <c r="U218">
        <v>0.19554289104090899</v>
      </c>
      <c r="V218">
        <v>1.459393672769</v>
      </c>
      <c r="W218">
        <v>2</v>
      </c>
      <c r="X218">
        <v>-172.178017722026</v>
      </c>
      <c r="Y218">
        <v>1</v>
      </c>
    </row>
    <row r="219" spans="1:25" x14ac:dyDescent="0.25">
      <c r="A219">
        <v>120</v>
      </c>
      <c r="B219">
        <v>2</v>
      </c>
      <c r="C219" s="1">
        <v>1000000</v>
      </c>
      <c r="D219">
        <v>1</v>
      </c>
      <c r="E219">
        <v>0</v>
      </c>
      <c r="F219">
        <v>0.6</v>
      </c>
      <c r="G219">
        <v>4.5999999999999996</v>
      </c>
      <c r="H219">
        <v>0.6</v>
      </c>
      <c r="I219">
        <v>0</v>
      </c>
      <c r="J219">
        <v>-3.3542996118834201</v>
      </c>
      <c r="K219">
        <v>-3.3492468505862298</v>
      </c>
      <c r="L219">
        <v>7.6846232868364801</v>
      </c>
      <c r="M219">
        <v>60.4264660531381</v>
      </c>
      <c r="N219">
        <v>0.306635164893931</v>
      </c>
      <c r="O219">
        <v>4.1887901915691304</v>
      </c>
      <c r="P219">
        <v>-1.89153836516056</v>
      </c>
      <c r="Q219">
        <v>9.2956223873389696</v>
      </c>
      <c r="R219">
        <v>12.5611881674907</v>
      </c>
      <c r="S219">
        <v>6.8693787604963896</v>
      </c>
      <c r="T219">
        <v>12.545648727889899</v>
      </c>
      <c r="U219">
        <v>0.210377936647062</v>
      </c>
      <c r="V219">
        <v>1.42488543102646</v>
      </c>
      <c r="W219">
        <v>2</v>
      </c>
      <c r="X219">
        <v>-155.908805752056</v>
      </c>
      <c r="Y219">
        <v>1</v>
      </c>
    </row>
    <row r="220" spans="1:25" x14ac:dyDescent="0.25">
      <c r="A220">
        <v>120</v>
      </c>
      <c r="B220">
        <v>2</v>
      </c>
      <c r="C220" s="1">
        <v>1000000</v>
      </c>
      <c r="D220">
        <v>1</v>
      </c>
      <c r="E220">
        <v>0</v>
      </c>
      <c r="F220">
        <v>0.625</v>
      </c>
      <c r="G220">
        <v>4.625</v>
      </c>
      <c r="H220">
        <v>0.625</v>
      </c>
      <c r="I220">
        <v>0</v>
      </c>
      <c r="J220">
        <v>-3.1256710553246201</v>
      </c>
      <c r="K220">
        <v>-3.1197573434564401</v>
      </c>
      <c r="L220">
        <v>8.1930824320661007</v>
      </c>
      <c r="M220">
        <v>60.792552318831198</v>
      </c>
      <c r="N220">
        <v>0.27190773232247201</v>
      </c>
      <c r="O220">
        <v>4.18879019442981</v>
      </c>
      <c r="P220">
        <v>-1.77973404518621</v>
      </c>
      <c r="Q220">
        <v>9.1014292704692306</v>
      </c>
      <c r="R220">
        <v>12.5611152396117</v>
      </c>
      <c r="S220">
        <v>6.5852224241579096</v>
      </c>
      <c r="T220">
        <v>12.545357319579701</v>
      </c>
      <c r="U220">
        <v>0.21449306061222101</v>
      </c>
      <c r="V220">
        <v>1.3936057127952099</v>
      </c>
      <c r="W220">
        <v>2</v>
      </c>
      <c r="X220">
        <v>-171.50124063900299</v>
      </c>
      <c r="Y220">
        <v>1</v>
      </c>
    </row>
    <row r="221" spans="1:25" x14ac:dyDescent="0.25">
      <c r="A221">
        <v>120</v>
      </c>
      <c r="B221">
        <v>2</v>
      </c>
      <c r="C221" s="1">
        <v>1000000</v>
      </c>
      <c r="D221">
        <v>1</v>
      </c>
      <c r="E221">
        <v>0</v>
      </c>
      <c r="F221">
        <v>0.65</v>
      </c>
      <c r="G221">
        <v>4.6500000000000004</v>
      </c>
      <c r="H221">
        <v>0.65</v>
      </c>
      <c r="I221">
        <v>0</v>
      </c>
      <c r="J221">
        <v>-2.9211400794487901</v>
      </c>
      <c r="K221">
        <v>-2.9143401635717399</v>
      </c>
      <c r="L221">
        <v>8.6674957160554005</v>
      </c>
      <c r="M221">
        <v>61.132074043205598</v>
      </c>
      <c r="N221">
        <v>0.22871160835214299</v>
      </c>
      <c r="O221">
        <v>4.1887901988207403</v>
      </c>
      <c r="P221">
        <v>-1.6770167832317799</v>
      </c>
      <c r="Q221">
        <v>8.9134895002380503</v>
      </c>
      <c r="R221">
        <v>12.561046513719001</v>
      </c>
      <c r="S221">
        <v>6.3159957957566899</v>
      </c>
      <c r="T221">
        <v>12.5450826874015</v>
      </c>
      <c r="U221">
        <v>0.21430828990215101</v>
      </c>
      <c r="V221">
        <v>1.3621114803961401</v>
      </c>
      <c r="W221">
        <v>2</v>
      </c>
      <c r="X221">
        <v>-160.94880333283899</v>
      </c>
      <c r="Y221">
        <v>1</v>
      </c>
    </row>
    <row r="222" spans="1:25" x14ac:dyDescent="0.25">
      <c r="A222">
        <v>120</v>
      </c>
      <c r="B222">
        <v>2</v>
      </c>
      <c r="C222" s="1">
        <v>1000000</v>
      </c>
      <c r="D222">
        <v>1</v>
      </c>
      <c r="E222">
        <v>0</v>
      </c>
      <c r="F222">
        <v>0.67500000000000004</v>
      </c>
      <c r="G222">
        <v>4.6749999999999998</v>
      </c>
      <c r="H222">
        <v>0.67500000000000004</v>
      </c>
      <c r="I222">
        <v>0</v>
      </c>
      <c r="J222">
        <v>-2.7391989612511498</v>
      </c>
      <c r="K222">
        <v>-2.7341989076716202</v>
      </c>
      <c r="L222">
        <v>9.1117502591731192</v>
      </c>
      <c r="M222">
        <v>61.453357504738698</v>
      </c>
      <c r="N222">
        <v>9.2458726102256195E-2</v>
      </c>
      <c r="O222">
        <v>4.1887902073557397</v>
      </c>
      <c r="P222">
        <v>-1.5833197256014999</v>
      </c>
      <c r="Q222">
        <v>8.7387038735328399</v>
      </c>
      <c r="R222">
        <v>12.5609925534821</v>
      </c>
      <c r="S222">
        <v>6.0704977633677304</v>
      </c>
      <c r="T222">
        <v>12.544867059009301</v>
      </c>
      <c r="U222">
        <v>0.220037554158593</v>
      </c>
      <c r="V222">
        <v>1.33145505926069</v>
      </c>
      <c r="W222">
        <v>2</v>
      </c>
      <c r="X222">
        <v>-166.35219694628401</v>
      </c>
      <c r="Y222">
        <v>1</v>
      </c>
    </row>
    <row r="223" spans="1:25" x14ac:dyDescent="0.25">
      <c r="A223">
        <v>120</v>
      </c>
      <c r="B223">
        <v>2</v>
      </c>
      <c r="C223" s="1">
        <v>1000000</v>
      </c>
      <c r="D223">
        <v>1</v>
      </c>
      <c r="E223">
        <v>0</v>
      </c>
      <c r="F223">
        <v>0.7</v>
      </c>
      <c r="G223">
        <v>4.7</v>
      </c>
      <c r="H223">
        <v>0.7</v>
      </c>
      <c r="I223">
        <v>0</v>
      </c>
      <c r="J223">
        <v>-2.5738095297658301</v>
      </c>
      <c r="K223">
        <v>-2.56742798040827</v>
      </c>
      <c r="L223">
        <v>9.5287578311516405</v>
      </c>
      <c r="M223">
        <v>61.749814611925302</v>
      </c>
      <c r="N223">
        <v>7.2398681231185202E-2</v>
      </c>
      <c r="O223">
        <v>4.1887902154697798</v>
      </c>
      <c r="P223">
        <v>-1.49515652850765</v>
      </c>
      <c r="Q223">
        <v>8.5632975391122699</v>
      </c>
      <c r="R223">
        <v>12.561016033321801</v>
      </c>
      <c r="S223">
        <v>5.8292174688935399</v>
      </c>
      <c r="T223">
        <v>12.5449608781162</v>
      </c>
      <c r="U223">
        <v>0.231132038781796</v>
      </c>
      <c r="V223">
        <v>1.30182943899753</v>
      </c>
      <c r="W223">
        <v>2</v>
      </c>
      <c r="X223">
        <v>-166.68998289227901</v>
      </c>
      <c r="Y223">
        <v>1</v>
      </c>
    </row>
    <row r="224" spans="1:25" x14ac:dyDescent="0.25">
      <c r="A224">
        <v>120</v>
      </c>
      <c r="B224">
        <v>2</v>
      </c>
      <c r="C224" s="1">
        <v>1000000</v>
      </c>
      <c r="D224">
        <v>1</v>
      </c>
      <c r="E224">
        <v>0</v>
      </c>
      <c r="F224">
        <v>0.72499999999999998</v>
      </c>
      <c r="G224">
        <v>4.7249999999999996</v>
      </c>
      <c r="H224">
        <v>0.72499999999999998</v>
      </c>
      <c r="I224">
        <v>0</v>
      </c>
      <c r="J224">
        <v>-2.4235856401750002</v>
      </c>
      <c r="K224">
        <v>-2.4166979056848699</v>
      </c>
      <c r="L224">
        <v>9.9211474972146991</v>
      </c>
      <c r="M224">
        <v>62.029229491970298</v>
      </c>
      <c r="N224">
        <v>9.1241275195391401E-3</v>
      </c>
      <c r="O224">
        <v>4.1887902072276102</v>
      </c>
      <c r="P224">
        <v>-1.41231583641742</v>
      </c>
      <c r="Q224">
        <v>8.3958989074901904</v>
      </c>
      <c r="R224">
        <v>12.5610252150004</v>
      </c>
      <c r="S224">
        <v>5.6032077438657604</v>
      </c>
      <c r="T224">
        <v>12.544997561567801</v>
      </c>
      <c r="U224">
        <v>0.19887777901748799</v>
      </c>
      <c r="V224">
        <v>1.2727714571278701</v>
      </c>
      <c r="W224">
        <v>2</v>
      </c>
      <c r="X224">
        <v>-156.530950769848</v>
      </c>
      <c r="Y224">
        <v>1</v>
      </c>
    </row>
    <row r="225" spans="1:25" x14ac:dyDescent="0.25">
      <c r="A225">
        <v>120</v>
      </c>
      <c r="B225">
        <v>2</v>
      </c>
      <c r="C225" s="1">
        <v>1000000</v>
      </c>
      <c r="D225">
        <v>1</v>
      </c>
      <c r="E225">
        <v>0</v>
      </c>
      <c r="F225">
        <v>0.75</v>
      </c>
      <c r="G225">
        <v>4.75</v>
      </c>
      <c r="H225">
        <v>0.75</v>
      </c>
      <c r="I225">
        <v>0</v>
      </c>
      <c r="J225">
        <v>-2.2949187840548499</v>
      </c>
      <c r="K225">
        <v>-2.28154355575573</v>
      </c>
      <c r="L225">
        <v>10.2911680016063</v>
      </c>
      <c r="M225">
        <v>62.291946889154602</v>
      </c>
      <c r="N225">
        <v>5.5777100554795303E-4</v>
      </c>
      <c r="O225">
        <v>4.1887902047864198</v>
      </c>
      <c r="P225">
        <v>-1.3371624428134199</v>
      </c>
      <c r="Q225">
        <v>8.23329542566991</v>
      </c>
      <c r="R225">
        <v>12.5610567687807</v>
      </c>
      <c r="S225">
        <v>5.3883639870729496</v>
      </c>
      <c r="T225">
        <v>12.545123644184301</v>
      </c>
      <c r="U225">
        <v>0.20430771827458699</v>
      </c>
      <c r="V225">
        <v>1.2455861981918099</v>
      </c>
      <c r="W225">
        <v>2</v>
      </c>
      <c r="X225">
        <v>-162.22997308599199</v>
      </c>
      <c r="Y225">
        <v>1</v>
      </c>
    </row>
    <row r="226" spans="1:25" x14ac:dyDescent="0.25">
      <c r="A226">
        <v>120</v>
      </c>
      <c r="B226">
        <v>2</v>
      </c>
      <c r="C226" s="1">
        <v>1000000</v>
      </c>
      <c r="D226">
        <v>1</v>
      </c>
      <c r="E226">
        <v>0</v>
      </c>
      <c r="F226">
        <v>0.77500000000000002</v>
      </c>
      <c r="G226">
        <v>4.7750000000000004</v>
      </c>
      <c r="H226">
        <v>0.77500000000000002</v>
      </c>
      <c r="I226">
        <v>0</v>
      </c>
      <c r="J226">
        <v>-2.1659037834297501</v>
      </c>
      <c r="K226">
        <v>-2.1568373998668</v>
      </c>
      <c r="L226">
        <v>10.640800338217099</v>
      </c>
      <c r="M226">
        <v>62.540788718673298</v>
      </c>
      <c r="N226">
        <v>1.48870060384437E-3</v>
      </c>
      <c r="O226">
        <v>4.1887902047864296</v>
      </c>
      <c r="P226">
        <v>-1.2641837815111601</v>
      </c>
      <c r="Q226">
        <v>8.0774847746149305</v>
      </c>
      <c r="R226">
        <v>12.5611123940313</v>
      </c>
      <c r="S226">
        <v>5.1863519712953003</v>
      </c>
      <c r="T226">
        <v>12.545345918387</v>
      </c>
      <c r="U226">
        <v>0.21730242973886399</v>
      </c>
      <c r="V226">
        <v>1.21855281658381</v>
      </c>
      <c r="W226">
        <v>2</v>
      </c>
      <c r="X226">
        <v>-168.15661528277201</v>
      </c>
      <c r="Y226">
        <v>1</v>
      </c>
    </row>
    <row r="227" spans="1:25" x14ac:dyDescent="0.25">
      <c r="A227">
        <v>120</v>
      </c>
      <c r="B227">
        <v>2</v>
      </c>
      <c r="C227" s="1">
        <v>1000000</v>
      </c>
      <c r="D227">
        <v>1</v>
      </c>
      <c r="E227">
        <v>0</v>
      </c>
      <c r="F227">
        <v>0.8</v>
      </c>
      <c r="G227">
        <v>4.8</v>
      </c>
      <c r="H227">
        <v>0.8</v>
      </c>
      <c r="I227">
        <v>0</v>
      </c>
      <c r="J227">
        <v>-2.0463225311941402</v>
      </c>
      <c r="K227">
        <v>-2.0421368444773802</v>
      </c>
      <c r="L227">
        <v>10.971575876319299</v>
      </c>
      <c r="M227">
        <v>62.773546051803997</v>
      </c>
      <c r="N227">
        <v>9.5026365001637299E-3</v>
      </c>
      <c r="O227">
        <v>4.1887902048041799</v>
      </c>
      <c r="P227">
        <v>-1.19625243693065</v>
      </c>
      <c r="Q227">
        <v>7.9232010967289197</v>
      </c>
      <c r="R227">
        <v>12.561139451455499</v>
      </c>
      <c r="S227">
        <v>4.9901096149293798</v>
      </c>
      <c r="T227">
        <v>12.545454035652799</v>
      </c>
      <c r="U227">
        <v>0.209415829734662</v>
      </c>
      <c r="V227">
        <v>1.1925851560612399</v>
      </c>
      <c r="W227">
        <v>2</v>
      </c>
      <c r="X227">
        <v>-174.117156374563</v>
      </c>
      <c r="Y227">
        <v>1</v>
      </c>
    </row>
    <row r="228" spans="1:25" x14ac:dyDescent="0.25">
      <c r="A228">
        <v>120</v>
      </c>
      <c r="B228">
        <v>2</v>
      </c>
      <c r="C228" s="1">
        <v>1000000</v>
      </c>
      <c r="D228">
        <v>1</v>
      </c>
      <c r="E228">
        <v>0</v>
      </c>
      <c r="F228">
        <v>0.82499999999999996</v>
      </c>
      <c r="G228">
        <v>4.8250000000000002</v>
      </c>
      <c r="H228">
        <v>0.82499999999999996</v>
      </c>
      <c r="I228">
        <v>0</v>
      </c>
      <c r="J228">
        <v>-1.9432946909450599</v>
      </c>
      <c r="K228">
        <v>-1.93642953462975</v>
      </c>
      <c r="L228">
        <v>11.285050159786399</v>
      </c>
      <c r="M228">
        <v>62.992616957820999</v>
      </c>
      <c r="N228">
        <v>3.54609854737966E-2</v>
      </c>
      <c r="O228">
        <v>4.1887902047944499</v>
      </c>
      <c r="P228">
        <v>-1.13231985961907</v>
      </c>
      <c r="Q228">
        <v>7.7717153208757299</v>
      </c>
      <c r="R228">
        <v>12.5611587102063</v>
      </c>
      <c r="S228">
        <v>4.8011545989699602</v>
      </c>
      <c r="T228">
        <v>12.5455309906363</v>
      </c>
      <c r="U228">
        <v>0.18893847252306201</v>
      </c>
      <c r="V228">
        <v>1.1666721495843599</v>
      </c>
      <c r="W228">
        <v>2</v>
      </c>
      <c r="X228">
        <v>-169.39143430749399</v>
      </c>
      <c r="Y228">
        <v>1</v>
      </c>
    </row>
    <row r="229" spans="1:25" x14ac:dyDescent="0.25">
      <c r="A229">
        <v>120</v>
      </c>
      <c r="B229">
        <v>2</v>
      </c>
      <c r="C229" s="1">
        <v>1000000</v>
      </c>
      <c r="D229">
        <v>1</v>
      </c>
      <c r="E229">
        <v>0</v>
      </c>
      <c r="F229">
        <v>0.85</v>
      </c>
      <c r="G229">
        <v>4.8499999999999996</v>
      </c>
      <c r="H229">
        <v>0.85</v>
      </c>
      <c r="I229">
        <v>0</v>
      </c>
      <c r="J229">
        <v>-1.8465655352415</v>
      </c>
      <c r="K229">
        <v>-1.8395382022598601</v>
      </c>
      <c r="L229">
        <v>11.5825926860108</v>
      </c>
      <c r="M229">
        <v>63.200528171442798</v>
      </c>
      <c r="N229">
        <v>1.47776568931341E-3</v>
      </c>
      <c r="O229">
        <v>4.1887902047864101</v>
      </c>
      <c r="P229">
        <v>-1.07199953744472</v>
      </c>
      <c r="Q229">
        <v>7.6251806605605799</v>
      </c>
      <c r="R229">
        <v>12.561172567223</v>
      </c>
      <c r="S229">
        <v>4.621792333748</v>
      </c>
      <c r="T229">
        <v>12.545586360793401</v>
      </c>
      <c r="U229">
        <v>0.201576075960719</v>
      </c>
      <c r="V229">
        <v>1.1416931730956801</v>
      </c>
      <c r="W229">
        <v>2</v>
      </c>
      <c r="X229">
        <v>-164.628698560191</v>
      </c>
      <c r="Y229">
        <v>1</v>
      </c>
    </row>
    <row r="230" spans="1:25" x14ac:dyDescent="0.25">
      <c r="A230">
        <v>120</v>
      </c>
      <c r="B230">
        <v>2</v>
      </c>
      <c r="C230" s="1">
        <v>1000000</v>
      </c>
      <c r="D230">
        <v>1</v>
      </c>
      <c r="E230">
        <v>0</v>
      </c>
      <c r="F230">
        <v>0.875</v>
      </c>
      <c r="G230">
        <v>4.875</v>
      </c>
      <c r="H230">
        <v>0.875</v>
      </c>
      <c r="I230">
        <v>0</v>
      </c>
      <c r="J230">
        <v>-1.7536800996605999</v>
      </c>
      <c r="K230">
        <v>-1.74745010882396</v>
      </c>
      <c r="L230">
        <v>11.8652891301748</v>
      </c>
      <c r="M230">
        <v>63.394795505174102</v>
      </c>
      <c r="N230">
        <v>1.8535558469779799E-2</v>
      </c>
      <c r="O230">
        <v>4.1887902047864101</v>
      </c>
      <c r="P230">
        <v>-1.01323533014489</v>
      </c>
      <c r="Q230">
        <v>7.4777354129986398</v>
      </c>
      <c r="R230">
        <v>12.5611891787568</v>
      </c>
      <c r="S230">
        <v>4.4448154188550903</v>
      </c>
      <c r="T230">
        <v>12.5456527391864</v>
      </c>
      <c r="U230">
        <v>0.23045581620910299</v>
      </c>
      <c r="V230">
        <v>1.11681410198384</v>
      </c>
      <c r="W230">
        <v>2</v>
      </c>
      <c r="X230">
        <v>-170.720593795627</v>
      </c>
      <c r="Y230">
        <v>1</v>
      </c>
    </row>
    <row r="231" spans="1:25" x14ac:dyDescent="0.25">
      <c r="A231">
        <v>120</v>
      </c>
      <c r="B231">
        <v>2</v>
      </c>
      <c r="C231" s="1">
        <v>1000000</v>
      </c>
      <c r="D231">
        <v>1</v>
      </c>
      <c r="E231">
        <v>0</v>
      </c>
      <c r="F231">
        <v>0.9</v>
      </c>
      <c r="G231">
        <v>4.9000000000000004</v>
      </c>
      <c r="H231">
        <v>0.9</v>
      </c>
      <c r="I231">
        <v>0</v>
      </c>
      <c r="J231">
        <v>-1.66731494578592</v>
      </c>
      <c r="K231">
        <v>-1.66237359722883</v>
      </c>
      <c r="L231">
        <v>12.134201514511499</v>
      </c>
      <c r="M231">
        <v>63.579592220186001</v>
      </c>
      <c r="N231">
        <v>0.10193838647761699</v>
      </c>
      <c r="O231">
        <v>4.1887902048958301</v>
      </c>
      <c r="P231">
        <v>-0.95719615481978604</v>
      </c>
      <c r="Q231">
        <v>7.3343893096241803</v>
      </c>
      <c r="R231">
        <v>12.5612298014468</v>
      </c>
      <c r="S231">
        <v>4.2762749068319597</v>
      </c>
      <c r="T231">
        <v>12.5458150656422</v>
      </c>
      <c r="U231">
        <v>0.19890206219509399</v>
      </c>
      <c r="V231">
        <v>1.0922203235617001</v>
      </c>
      <c r="W231">
        <v>2</v>
      </c>
      <c r="X231">
        <v>-171.47809973809501</v>
      </c>
      <c r="Y231">
        <v>1</v>
      </c>
    </row>
    <row r="232" spans="1:25" x14ac:dyDescent="0.25">
      <c r="A232">
        <v>120</v>
      </c>
      <c r="B232">
        <v>2</v>
      </c>
      <c r="C232" s="1">
        <v>1000000</v>
      </c>
      <c r="D232">
        <v>1</v>
      </c>
      <c r="E232">
        <v>0</v>
      </c>
      <c r="F232">
        <v>0.92500000000000004</v>
      </c>
      <c r="G232">
        <v>4.9249999999999998</v>
      </c>
      <c r="H232">
        <v>0.92500000000000004</v>
      </c>
      <c r="I232">
        <v>0</v>
      </c>
      <c r="J232">
        <v>-1.58863944907387</v>
      </c>
      <c r="K232">
        <v>-1.5804044830608299</v>
      </c>
      <c r="L232">
        <v>12.3902526771093</v>
      </c>
      <c r="M232">
        <v>63.751593225794501</v>
      </c>
      <c r="N232">
        <v>0.47149669649839798</v>
      </c>
      <c r="O232">
        <v>4.1887902047876597</v>
      </c>
      <c r="P232">
        <v>-0.90177659510799302</v>
      </c>
      <c r="Q232">
        <v>7.1885565646670102</v>
      </c>
      <c r="R232">
        <v>12.561254095593901</v>
      </c>
      <c r="S232">
        <v>4.1080037405294298</v>
      </c>
      <c r="T232">
        <v>12.545912141903001</v>
      </c>
      <c r="U232">
        <v>0.234173133632052</v>
      </c>
      <c r="V232">
        <v>1.06768365974268</v>
      </c>
      <c r="W232">
        <v>2</v>
      </c>
      <c r="X232">
        <v>-161.30802422749599</v>
      </c>
      <c r="Y232">
        <v>1</v>
      </c>
    </row>
    <row r="233" spans="1:25" x14ac:dyDescent="0.25">
      <c r="A233">
        <v>120</v>
      </c>
      <c r="B233">
        <v>2</v>
      </c>
      <c r="C233" s="1">
        <v>1000000</v>
      </c>
      <c r="D233">
        <v>1</v>
      </c>
      <c r="E233">
        <v>0</v>
      </c>
      <c r="F233">
        <v>0.95</v>
      </c>
      <c r="G233">
        <v>4.95</v>
      </c>
      <c r="H233">
        <v>0.95</v>
      </c>
      <c r="I233">
        <v>0</v>
      </c>
      <c r="J233">
        <v>-1.51687315809016</v>
      </c>
      <c r="K233">
        <v>-1.50742289424923</v>
      </c>
      <c r="L233">
        <v>12.634097013550001</v>
      </c>
      <c r="M233">
        <v>63.917764934199397</v>
      </c>
      <c r="N233">
        <v>3.8366825174555703E-2</v>
      </c>
      <c r="O233">
        <v>4.1887902047864003</v>
      </c>
      <c r="P233">
        <v>-0.851335105613517</v>
      </c>
      <c r="Q233">
        <v>7.0511302615614602</v>
      </c>
      <c r="R233">
        <v>12.561268534114101</v>
      </c>
      <c r="S233">
        <v>3.9525674752040998</v>
      </c>
      <c r="T233">
        <v>12.5459698356948</v>
      </c>
      <c r="U233">
        <v>0.22821668625997599</v>
      </c>
      <c r="V233">
        <v>1.04399053442283</v>
      </c>
      <c r="W233">
        <v>2</v>
      </c>
      <c r="X233">
        <v>-144.93081691861701</v>
      </c>
      <c r="Y233">
        <v>1</v>
      </c>
    </row>
    <row r="234" spans="1:25" x14ac:dyDescent="0.25">
      <c r="A234">
        <v>120</v>
      </c>
      <c r="B234">
        <v>2</v>
      </c>
      <c r="C234" s="1">
        <v>1000000</v>
      </c>
      <c r="D234">
        <v>1</v>
      </c>
      <c r="E234">
        <v>0</v>
      </c>
      <c r="F234">
        <v>0.97499999999999998</v>
      </c>
      <c r="G234">
        <v>4.9749999999999996</v>
      </c>
      <c r="H234">
        <v>0.97499999999999998</v>
      </c>
      <c r="I234">
        <v>0</v>
      </c>
      <c r="J234">
        <v>-1.4398979413830499</v>
      </c>
      <c r="K234">
        <v>-1.4373738525029001</v>
      </c>
      <c r="L234">
        <v>12.8665858452449</v>
      </c>
      <c r="M234">
        <v>64.073510840278999</v>
      </c>
      <c r="N234">
        <v>9.1123820126781593E-3</v>
      </c>
      <c r="O234">
        <v>4.1887902047864003</v>
      </c>
      <c r="P234">
        <v>-0.80143584877666296</v>
      </c>
      <c r="Q234">
        <v>6.91272631057676</v>
      </c>
      <c r="R234">
        <v>12.5612806324795</v>
      </c>
      <c r="S234">
        <v>3.7990435307445898</v>
      </c>
      <c r="T234">
        <v>12.546018177766699</v>
      </c>
      <c r="U234">
        <v>0.22941336510944199</v>
      </c>
      <c r="V234">
        <v>1.02055390708562</v>
      </c>
      <c r="W234">
        <v>2</v>
      </c>
      <c r="X234">
        <v>-61.168753728397597</v>
      </c>
      <c r="Y234">
        <v>1</v>
      </c>
    </row>
    <row r="235" spans="1:25" x14ac:dyDescent="0.25">
      <c r="A235">
        <v>120</v>
      </c>
      <c r="B235">
        <v>2</v>
      </c>
      <c r="C235" s="1">
        <v>1000000</v>
      </c>
      <c r="D235">
        <v>1</v>
      </c>
      <c r="E235">
        <v>0</v>
      </c>
      <c r="F235">
        <v>1</v>
      </c>
      <c r="G235">
        <v>5</v>
      </c>
      <c r="H235">
        <v>1</v>
      </c>
      <c r="I235">
        <v>0</v>
      </c>
      <c r="J235">
        <v>-1.37669746047303</v>
      </c>
      <c r="K235">
        <v>-1.36927260798357</v>
      </c>
      <c r="L235">
        <v>13.086493779047499</v>
      </c>
      <c r="M235">
        <v>64.216307791606098</v>
      </c>
      <c r="N235">
        <v>9.6068069655372595E-2</v>
      </c>
      <c r="O235">
        <v>4.1887902047864101</v>
      </c>
      <c r="P235">
        <v>-0.75115755850166699</v>
      </c>
      <c r="Q235">
        <v>6.7722705439045399</v>
      </c>
      <c r="R235">
        <v>12.5611735495015</v>
      </c>
      <c r="S235">
        <v>3.6456202413057199</v>
      </c>
      <c r="T235">
        <v>12.545590307587901</v>
      </c>
      <c r="U235">
        <v>0.121037168584084</v>
      </c>
      <c r="V235">
        <v>0.997333373242417</v>
      </c>
      <c r="W235">
        <v>2</v>
      </c>
      <c r="X235">
        <v>33.745986643111998</v>
      </c>
      <c r="Y235">
        <v>1</v>
      </c>
    </row>
    <row r="236" spans="1:25" x14ac:dyDescent="0.25">
      <c r="A236">
        <v>120</v>
      </c>
      <c r="B236">
        <v>2</v>
      </c>
      <c r="C236" s="1">
        <v>1000000</v>
      </c>
      <c r="D236">
        <v>1</v>
      </c>
      <c r="E236">
        <v>0</v>
      </c>
      <c r="F236">
        <v>1.0249999999999999</v>
      </c>
      <c r="G236">
        <v>5.0250000000000004</v>
      </c>
      <c r="H236">
        <v>1.0249999999999999</v>
      </c>
      <c r="I236">
        <v>0</v>
      </c>
      <c r="J236">
        <v>-1.3149966581675301</v>
      </c>
      <c r="K236">
        <v>-1.3102687119658001</v>
      </c>
      <c r="L236">
        <v>13.296229575530999</v>
      </c>
      <c r="M236">
        <v>64.358644603631205</v>
      </c>
      <c r="N236">
        <v>0.46673661522636201</v>
      </c>
      <c r="O236">
        <v>4.1887902014784197</v>
      </c>
      <c r="P236">
        <v>-0.70607756680329403</v>
      </c>
      <c r="Q236">
        <v>6.6445539203302104</v>
      </c>
      <c r="R236">
        <v>12.561283811921699</v>
      </c>
      <c r="S236">
        <v>3.5099665308438301</v>
      </c>
      <c r="T236">
        <v>12.5460309087848</v>
      </c>
      <c r="U236">
        <v>-0.106631768014169</v>
      </c>
      <c r="V236">
        <v>0.97595814148408899</v>
      </c>
      <c r="W236">
        <v>2</v>
      </c>
      <c r="X236">
        <v>89.5311467212954</v>
      </c>
      <c r="Y236">
        <v>1</v>
      </c>
    </row>
    <row r="237" spans="1:25" x14ac:dyDescent="0.25">
      <c r="A237">
        <v>120</v>
      </c>
      <c r="B237">
        <v>2</v>
      </c>
      <c r="C237" s="1">
        <v>1000000</v>
      </c>
      <c r="D237">
        <v>1</v>
      </c>
      <c r="E237">
        <v>0</v>
      </c>
      <c r="F237">
        <v>1.05</v>
      </c>
      <c r="G237">
        <v>5.05</v>
      </c>
      <c r="H237">
        <v>1.05</v>
      </c>
      <c r="I237">
        <v>0</v>
      </c>
      <c r="J237">
        <v>-1.2551342126512599</v>
      </c>
      <c r="K237">
        <v>-1.25129816370251</v>
      </c>
      <c r="L237">
        <v>13.4980424899871</v>
      </c>
      <c r="M237">
        <v>64.490049145279002</v>
      </c>
      <c r="N237">
        <v>0.40484361169170702</v>
      </c>
      <c r="O237">
        <v>4.1887902025964996</v>
      </c>
      <c r="P237">
        <v>-0.66030497097906005</v>
      </c>
      <c r="Q237">
        <v>6.5095961782990397</v>
      </c>
      <c r="R237">
        <v>12.561285221718199</v>
      </c>
      <c r="S237">
        <v>3.3691440714019301</v>
      </c>
      <c r="T237">
        <v>12.5460365414351</v>
      </c>
      <c r="U237">
        <v>-0.10587161088063</v>
      </c>
      <c r="V237">
        <v>0.95284728597740598</v>
      </c>
      <c r="W237">
        <v>2</v>
      </c>
      <c r="X237">
        <v>161.937748193505</v>
      </c>
      <c r="Y237">
        <v>1</v>
      </c>
    </row>
    <row r="238" spans="1:25" x14ac:dyDescent="0.25">
      <c r="A238">
        <v>120</v>
      </c>
      <c r="B238">
        <v>2</v>
      </c>
      <c r="C238" s="1">
        <v>1000000</v>
      </c>
      <c r="D238">
        <v>1</v>
      </c>
      <c r="E238">
        <v>0</v>
      </c>
      <c r="F238">
        <v>1.075</v>
      </c>
      <c r="G238">
        <v>5.0750000000000002</v>
      </c>
      <c r="H238">
        <v>1.075</v>
      </c>
      <c r="I238">
        <v>0</v>
      </c>
      <c r="J238">
        <v>-1.1983452420113001</v>
      </c>
      <c r="K238">
        <v>-1.1956954271122999</v>
      </c>
      <c r="L238">
        <v>13.6899897671587</v>
      </c>
      <c r="M238">
        <v>64.614424771129706</v>
      </c>
      <c r="N238">
        <v>1.01229298963293E-2</v>
      </c>
      <c r="O238">
        <v>4.1887902047863896</v>
      </c>
      <c r="P238">
        <v>-0.615262150149679</v>
      </c>
      <c r="Q238">
        <v>6.3775586651048304</v>
      </c>
      <c r="R238">
        <v>12.5613115689887</v>
      </c>
      <c r="S238">
        <v>3.2338217472071</v>
      </c>
      <c r="T238">
        <v>12.5461417926251</v>
      </c>
      <c r="U238">
        <v>-0.35263115849082399</v>
      </c>
      <c r="V238">
        <v>0.929920173559452</v>
      </c>
      <c r="W238">
        <v>2</v>
      </c>
      <c r="X238">
        <v>178.090159489652</v>
      </c>
      <c r="Y238">
        <v>1</v>
      </c>
    </row>
    <row r="239" spans="1:25" x14ac:dyDescent="0.25">
      <c r="A239">
        <v>120</v>
      </c>
      <c r="B239">
        <v>2</v>
      </c>
      <c r="C239" s="1">
        <v>1000000</v>
      </c>
      <c r="D239">
        <v>1</v>
      </c>
      <c r="E239">
        <v>0</v>
      </c>
      <c r="F239">
        <v>1.1000000000000001</v>
      </c>
      <c r="G239">
        <v>5.0999999999999996</v>
      </c>
      <c r="H239">
        <v>1.1000000000000001</v>
      </c>
      <c r="I239">
        <v>0</v>
      </c>
      <c r="J239">
        <v>-1.1422049023844401</v>
      </c>
      <c r="K239">
        <v>-1.13702880288747</v>
      </c>
      <c r="L239">
        <v>13.8736086430805</v>
      </c>
      <c r="M239">
        <v>64.721524332714395</v>
      </c>
      <c r="N239">
        <v>0.414937148907567</v>
      </c>
      <c r="O239">
        <v>4.1887901811445403</v>
      </c>
      <c r="P239">
        <v>-0.569030744912285</v>
      </c>
      <c r="Q239">
        <v>6.2250351497622702</v>
      </c>
      <c r="R239">
        <v>12.561296996190601</v>
      </c>
      <c r="S239">
        <v>3.0808951970910101</v>
      </c>
      <c r="T239">
        <v>12.5460835775602</v>
      </c>
      <c r="U239">
        <v>-0.35587343491901302</v>
      </c>
      <c r="V239">
        <v>0.905200622637512</v>
      </c>
      <c r="W239">
        <v>2</v>
      </c>
      <c r="X239">
        <v>177.04989260316501</v>
      </c>
      <c r="Y239">
        <v>1</v>
      </c>
    </row>
    <row r="240" spans="1:25" x14ac:dyDescent="0.25">
      <c r="A240">
        <v>120</v>
      </c>
      <c r="B240">
        <v>2</v>
      </c>
      <c r="C240" s="1">
        <v>1000000</v>
      </c>
      <c r="D240">
        <v>1</v>
      </c>
      <c r="E240">
        <v>0</v>
      </c>
      <c r="F240">
        <v>1.125</v>
      </c>
      <c r="G240">
        <v>5.125</v>
      </c>
      <c r="H240">
        <v>1.125</v>
      </c>
      <c r="I240">
        <v>0</v>
      </c>
      <c r="J240">
        <v>-1.0888919716885801</v>
      </c>
      <c r="K240">
        <v>-1.0835019331395499</v>
      </c>
      <c r="L240">
        <v>14.0489025347372</v>
      </c>
      <c r="M240">
        <v>64.826131251137596</v>
      </c>
      <c r="N240">
        <v>0.57288267963947903</v>
      </c>
      <c r="O240">
        <v>4.1887901336336402</v>
      </c>
      <c r="P240">
        <v>-0.52459815639066598</v>
      </c>
      <c r="Q240">
        <v>6.0804115866118602</v>
      </c>
      <c r="R240">
        <v>12.561303778113199</v>
      </c>
      <c r="S240">
        <v>2.9394928448501898</v>
      </c>
      <c r="T240">
        <v>12.5461106695028</v>
      </c>
      <c r="U240">
        <v>-0.33388888996099397</v>
      </c>
      <c r="V240">
        <v>0.88064106499731798</v>
      </c>
      <c r="W240">
        <v>2</v>
      </c>
      <c r="X240">
        <v>176.07829003572999</v>
      </c>
      <c r="Y240">
        <v>1</v>
      </c>
    </row>
    <row r="241" spans="1:25" x14ac:dyDescent="0.25">
      <c r="A241">
        <v>120</v>
      </c>
      <c r="B241">
        <v>2</v>
      </c>
      <c r="C241" s="1">
        <v>1000000</v>
      </c>
      <c r="D241">
        <v>1</v>
      </c>
      <c r="E241">
        <v>0</v>
      </c>
      <c r="F241">
        <v>1.1499999999999999</v>
      </c>
      <c r="G241">
        <v>5.15</v>
      </c>
      <c r="H241">
        <v>1.1499999999999999</v>
      </c>
      <c r="I241">
        <v>0</v>
      </c>
      <c r="J241">
        <v>-1.03810938654052</v>
      </c>
      <c r="K241">
        <v>-1.0350574309496701</v>
      </c>
      <c r="L241">
        <v>14.216293244851601</v>
      </c>
      <c r="M241">
        <v>64.928389726013293</v>
      </c>
      <c r="N241">
        <v>0.34914896671724999</v>
      </c>
      <c r="O241">
        <v>4.1887901776526704</v>
      </c>
      <c r="P241">
        <v>-0.48261961586096003</v>
      </c>
      <c r="Q241">
        <v>5.9440263008325296</v>
      </c>
      <c r="R241">
        <v>12.561310673723201</v>
      </c>
      <c r="S241">
        <v>2.8092100287460502</v>
      </c>
      <c r="T241">
        <v>12.546138216111</v>
      </c>
      <c r="U241">
        <v>-0.301951677808529</v>
      </c>
      <c r="V241">
        <v>0.85881139463322198</v>
      </c>
      <c r="W241">
        <v>2</v>
      </c>
      <c r="X241">
        <v>175.356780171423</v>
      </c>
      <c r="Y241">
        <v>1</v>
      </c>
    </row>
    <row r="242" spans="1:25" x14ac:dyDescent="0.25">
      <c r="A242">
        <v>120</v>
      </c>
      <c r="B242">
        <v>2</v>
      </c>
      <c r="C242" s="1">
        <v>1000000</v>
      </c>
      <c r="D242">
        <v>1</v>
      </c>
      <c r="E242">
        <v>0</v>
      </c>
      <c r="F242">
        <v>1.175</v>
      </c>
      <c r="G242">
        <v>5.1749999999999998</v>
      </c>
      <c r="H242">
        <v>1.175</v>
      </c>
      <c r="I242">
        <v>0</v>
      </c>
      <c r="J242">
        <v>-0.98760827185892897</v>
      </c>
      <c r="K242">
        <v>-0.98245854056315796</v>
      </c>
      <c r="L242">
        <v>14.3771064612788</v>
      </c>
      <c r="M242">
        <v>65.014981481062605</v>
      </c>
      <c r="N242">
        <v>0.24673344878481199</v>
      </c>
      <c r="O242">
        <v>4.1887902021837302</v>
      </c>
      <c r="P242">
        <v>-0.43696346876877601</v>
      </c>
      <c r="Q242">
        <v>5.7853537106282404</v>
      </c>
      <c r="R242">
        <v>12.5613239837233</v>
      </c>
      <c r="S242">
        <v>2.66087640454943</v>
      </c>
      <c r="T242">
        <v>12.546191388929399</v>
      </c>
      <c r="U242">
        <v>-0.33081243247625802</v>
      </c>
      <c r="V242">
        <v>0.83366733244268998</v>
      </c>
      <c r="W242">
        <v>2</v>
      </c>
      <c r="X242">
        <v>174.31981248302799</v>
      </c>
      <c r="Y242">
        <v>1</v>
      </c>
    </row>
    <row r="243" spans="1:25" x14ac:dyDescent="0.25">
      <c r="A243">
        <v>120</v>
      </c>
      <c r="B243">
        <v>2</v>
      </c>
      <c r="C243" s="1">
        <v>1000000</v>
      </c>
      <c r="D243">
        <v>1</v>
      </c>
      <c r="E243">
        <v>0</v>
      </c>
      <c r="F243">
        <v>1.2</v>
      </c>
      <c r="G243">
        <v>5.2</v>
      </c>
      <c r="H243">
        <v>1.2</v>
      </c>
      <c r="I243">
        <v>0</v>
      </c>
      <c r="J243">
        <v>-3.7968470585114697E-2</v>
      </c>
      <c r="K243">
        <v>-7.4927112753933406E-2</v>
      </c>
      <c r="L243">
        <v>14.9621442203812</v>
      </c>
      <c r="M243">
        <v>64.269079586586798</v>
      </c>
      <c r="N243">
        <v>1.73408224453734E-4</v>
      </c>
      <c r="O243">
        <v>4.1887902047863301</v>
      </c>
      <c r="P243">
        <v>0.42933814572603102</v>
      </c>
      <c r="Q243">
        <v>0.54386345534236702</v>
      </c>
      <c r="R243">
        <v>12.561324605194001</v>
      </c>
      <c r="S243">
        <v>5.0923625992204205E-4</v>
      </c>
      <c r="T243">
        <v>12.5461938717928</v>
      </c>
      <c r="U243">
        <v>-2.4064993980004001E-2</v>
      </c>
      <c r="V243">
        <v>1.10738086796092E-3</v>
      </c>
      <c r="W243">
        <v>2</v>
      </c>
      <c r="X243">
        <v>150.32876256803399</v>
      </c>
      <c r="Y243">
        <v>1</v>
      </c>
    </row>
    <row r="244" spans="1:25" x14ac:dyDescent="0.25">
      <c r="A244">
        <v>120</v>
      </c>
      <c r="B244">
        <v>2</v>
      </c>
      <c r="C244" s="1">
        <v>1000000</v>
      </c>
      <c r="D244">
        <v>1</v>
      </c>
      <c r="E244">
        <v>0</v>
      </c>
      <c r="F244">
        <v>1.2250000000000001</v>
      </c>
      <c r="G244">
        <v>5.2249999999999996</v>
      </c>
      <c r="H244">
        <v>1.2250000000000001</v>
      </c>
      <c r="I244">
        <v>0</v>
      </c>
      <c r="J244">
        <v>6.5992617348227797E-2</v>
      </c>
      <c r="K244">
        <v>-5.5097069315137401E-2</v>
      </c>
      <c r="L244">
        <v>14.9776330445301</v>
      </c>
      <c r="M244">
        <v>64.283643607969196</v>
      </c>
      <c r="N244">
        <v>4.05902121801796E-4</v>
      </c>
      <c r="O244">
        <v>4.1887902047863301</v>
      </c>
      <c r="P244">
        <v>0.42447868797656901</v>
      </c>
      <c r="Q244">
        <v>0.39985895703777402</v>
      </c>
      <c r="R244">
        <v>12.5613246212459</v>
      </c>
      <c r="S244">
        <v>2.4245819366617701E-4</v>
      </c>
      <c r="T244">
        <v>12.5461939359231</v>
      </c>
      <c r="U244">
        <v>-1.27985433232643E-2</v>
      </c>
      <c r="V244">
        <v>1.55411644421005E-3</v>
      </c>
      <c r="W244">
        <v>2</v>
      </c>
      <c r="X244">
        <v>150.38073728843599</v>
      </c>
      <c r="Y244">
        <v>1</v>
      </c>
    </row>
    <row r="245" spans="1:25" x14ac:dyDescent="0.25">
      <c r="A245">
        <v>120</v>
      </c>
      <c r="B245">
        <v>2</v>
      </c>
      <c r="C245" s="1">
        <v>1000000</v>
      </c>
      <c r="D245">
        <v>1</v>
      </c>
      <c r="E245">
        <v>0</v>
      </c>
      <c r="F245">
        <v>1.25</v>
      </c>
      <c r="G245">
        <v>5.25</v>
      </c>
      <c r="H245">
        <v>1.25</v>
      </c>
      <c r="I245">
        <v>0</v>
      </c>
      <c r="J245">
        <v>3.0333394567983001E-2</v>
      </c>
      <c r="K245">
        <v>-8.8429887904317005E-3</v>
      </c>
      <c r="L245">
        <v>15.036765336284899</v>
      </c>
      <c r="M245">
        <v>64.341888624535997</v>
      </c>
      <c r="N245">
        <v>2.92963273763304E-4</v>
      </c>
      <c r="O245">
        <v>4.1887902047863301</v>
      </c>
      <c r="P245">
        <v>0.38749072862116501</v>
      </c>
      <c r="Q245">
        <v>6.4177652534777502E-2</v>
      </c>
      <c r="R245">
        <v>12.561324624100299</v>
      </c>
      <c r="S245" s="1">
        <v>4.4750001723965097E-5</v>
      </c>
      <c r="T245">
        <v>12.546193947326699</v>
      </c>
      <c r="U245">
        <v>-3.9911133101186297E-2</v>
      </c>
      <c r="V245" s="1">
        <v>6.3713539889132402E-5</v>
      </c>
      <c r="W245">
        <v>2</v>
      </c>
      <c r="X245">
        <v>151.61334930732801</v>
      </c>
      <c r="Y245">
        <v>1</v>
      </c>
    </row>
    <row r="246" spans="1:25" x14ac:dyDescent="0.25">
      <c r="A246">
        <v>120</v>
      </c>
      <c r="B246">
        <v>2</v>
      </c>
      <c r="C246" s="1">
        <v>1000000</v>
      </c>
      <c r="D246">
        <v>1</v>
      </c>
      <c r="E246">
        <v>0</v>
      </c>
      <c r="F246">
        <v>1.2749999999999999</v>
      </c>
      <c r="G246">
        <v>5.2750000000000004</v>
      </c>
      <c r="H246">
        <v>1.2749999999999999</v>
      </c>
      <c r="I246">
        <v>0</v>
      </c>
      <c r="J246">
        <v>-0.105692160655133</v>
      </c>
      <c r="K246">
        <v>-2.90727888395927E-2</v>
      </c>
      <c r="L246">
        <v>15.001405528894599</v>
      </c>
      <c r="M246">
        <v>64.306155472333799</v>
      </c>
      <c r="N246">
        <v>1.4516061674086999E-4</v>
      </c>
      <c r="O246">
        <v>4.1887902047863301</v>
      </c>
      <c r="P246">
        <v>0.41267556509520897</v>
      </c>
      <c r="Q246">
        <v>0.210920439322898</v>
      </c>
      <c r="R246">
        <v>12.5613246221621</v>
      </c>
      <c r="S246" s="1">
        <v>-1.7595043839855899E-5</v>
      </c>
      <c r="T246">
        <v>12.5461939395834</v>
      </c>
      <c r="U246">
        <v>-1.1177958183124601E-2</v>
      </c>
      <c r="V246">
        <v>1.9595513377942801E-4</v>
      </c>
      <c r="W246">
        <v>2</v>
      </c>
      <c r="X246">
        <v>150.751174986889</v>
      </c>
      <c r="Y246">
        <v>1</v>
      </c>
    </row>
    <row r="247" spans="1:25" x14ac:dyDescent="0.25">
      <c r="A247">
        <v>120</v>
      </c>
      <c r="B247">
        <v>2</v>
      </c>
      <c r="C247" s="1">
        <v>1000000</v>
      </c>
      <c r="D247">
        <v>1</v>
      </c>
      <c r="E247">
        <v>0</v>
      </c>
      <c r="F247">
        <v>1.3</v>
      </c>
      <c r="G247">
        <v>5.3</v>
      </c>
      <c r="H247">
        <v>1.3</v>
      </c>
      <c r="I247">
        <v>0</v>
      </c>
      <c r="J247">
        <v>-0.12344242384977901</v>
      </c>
      <c r="K247">
        <v>-1.4393438128587699E-2</v>
      </c>
      <c r="L247">
        <v>15.0518639049853</v>
      </c>
      <c r="M247">
        <v>64.355882158399197</v>
      </c>
      <c r="N247">
        <v>2.5338354978117901E-4</v>
      </c>
      <c r="O247">
        <v>4.1887902047863497</v>
      </c>
      <c r="P247">
        <v>0.38265784145072002</v>
      </c>
      <c r="Q247">
        <v>0.104430360819012</v>
      </c>
      <c r="R247">
        <v>12.561324623451201</v>
      </c>
      <c r="S247" s="1">
        <v>7.0727057073061199E-6</v>
      </c>
      <c r="T247">
        <v>12.5461939447334</v>
      </c>
      <c r="U247">
        <v>-2.9842234811812599E-2</v>
      </c>
      <c r="V247" s="1">
        <v>6.1706295840827904E-5</v>
      </c>
      <c r="W247">
        <v>2</v>
      </c>
      <c r="X247">
        <v>151.87654843891099</v>
      </c>
      <c r="Y247">
        <v>1</v>
      </c>
    </row>
    <row r="248" spans="1:25" x14ac:dyDescent="0.25">
      <c r="A248">
        <v>130</v>
      </c>
      <c r="B248">
        <v>2</v>
      </c>
      <c r="C248" s="1">
        <v>1000000</v>
      </c>
      <c r="D248">
        <v>1</v>
      </c>
      <c r="E248">
        <v>0</v>
      </c>
      <c r="F248">
        <v>0.3</v>
      </c>
      <c r="G248">
        <v>4.3</v>
      </c>
      <c r="H248">
        <v>0.3</v>
      </c>
      <c r="I248">
        <v>0</v>
      </c>
      <c r="J248">
        <v>-1.54647712000675</v>
      </c>
      <c r="K248">
        <v>-1.5498740890717599</v>
      </c>
      <c r="L248">
        <v>-4.0632503011455503</v>
      </c>
      <c r="M248">
        <v>55.2412664570234</v>
      </c>
      <c r="N248">
        <v>1.17948729677522E-3</v>
      </c>
      <c r="O248">
        <v>4.1887902047863701</v>
      </c>
      <c r="P248">
        <v>6.2945749466638501E-2</v>
      </c>
      <c r="Q248">
        <v>13.9901722115401</v>
      </c>
      <c r="R248">
        <v>12.561324487276799</v>
      </c>
      <c r="S248">
        <v>15.552242761246999</v>
      </c>
      <c r="T248">
        <v>12.546193400691701</v>
      </c>
      <c r="U248">
        <v>6.1201086998218898E-2</v>
      </c>
      <c r="V248">
        <v>2</v>
      </c>
      <c r="W248">
        <v>2.2517800000000001</v>
      </c>
      <c r="X248">
        <v>55.730262017834903</v>
      </c>
      <c r="Y248">
        <v>1</v>
      </c>
    </row>
    <row r="249" spans="1:25" x14ac:dyDescent="0.25">
      <c r="A249">
        <v>130</v>
      </c>
      <c r="B249">
        <v>2</v>
      </c>
      <c r="C249" s="1">
        <v>1000000</v>
      </c>
      <c r="D249">
        <v>1</v>
      </c>
      <c r="E249">
        <v>0</v>
      </c>
      <c r="F249">
        <v>0.32500000000000001</v>
      </c>
      <c r="G249">
        <v>4.3250000000000002</v>
      </c>
      <c r="H249">
        <v>0.32500000000000001</v>
      </c>
      <c r="I249">
        <v>0</v>
      </c>
      <c r="J249">
        <v>-5.6415728491463799</v>
      </c>
      <c r="K249">
        <v>-5.6635216411146203</v>
      </c>
      <c r="L249">
        <v>-3.5004731993249001</v>
      </c>
      <c r="M249">
        <v>54.710319585107399</v>
      </c>
      <c r="N249">
        <v>2.94190841113678E-4</v>
      </c>
      <c r="O249">
        <v>4.1887902047824497</v>
      </c>
      <c r="P249">
        <v>-1.8391367513382799</v>
      </c>
      <c r="Q249">
        <v>13.199748373836901</v>
      </c>
      <c r="R249">
        <v>12.561324058929101</v>
      </c>
      <c r="S249">
        <v>13.850716675343699</v>
      </c>
      <c r="T249">
        <v>12.5461916893608</v>
      </c>
      <c r="U249">
        <v>6.7141027024618896E-2</v>
      </c>
      <c r="V249">
        <v>1.9958460060259</v>
      </c>
      <c r="W249">
        <v>2.1139899999999998</v>
      </c>
      <c r="X249">
        <v>92.089548287482501</v>
      </c>
      <c r="Y249">
        <v>1</v>
      </c>
    </row>
    <row r="250" spans="1:25" x14ac:dyDescent="0.25">
      <c r="A250">
        <v>130</v>
      </c>
      <c r="B250">
        <v>2</v>
      </c>
      <c r="C250" s="1">
        <v>1000000</v>
      </c>
      <c r="D250">
        <v>1</v>
      </c>
      <c r="E250">
        <v>0</v>
      </c>
      <c r="F250">
        <v>0.35</v>
      </c>
      <c r="G250">
        <v>4.3499999999999996</v>
      </c>
      <c r="H250">
        <v>0.35</v>
      </c>
      <c r="I250">
        <v>0</v>
      </c>
      <c r="J250">
        <v>-8.03193076825948</v>
      </c>
      <c r="K250">
        <v>-8.0250459598136406</v>
      </c>
      <c r="L250">
        <v>-2.3929813624328302</v>
      </c>
      <c r="M250">
        <v>54.9349672545858</v>
      </c>
      <c r="N250">
        <v>8.2880335376980408E-3</v>
      </c>
      <c r="O250">
        <v>4.1887902043046603</v>
      </c>
      <c r="P250">
        <v>-3.2720323224425898</v>
      </c>
      <c r="Q250">
        <v>12.5275007319264</v>
      </c>
      <c r="R250">
        <v>12.561313092016301</v>
      </c>
      <c r="S250">
        <v>12.477330453693</v>
      </c>
      <c r="T250">
        <v>12.5461478748507</v>
      </c>
      <c r="U250">
        <v>8.5146867902603604E-2</v>
      </c>
      <c r="V250">
        <v>1.9295404094781301</v>
      </c>
      <c r="W250">
        <v>2</v>
      </c>
      <c r="X250">
        <v>126.236394599712</v>
      </c>
      <c r="Y250">
        <v>1</v>
      </c>
    </row>
    <row r="251" spans="1:25" x14ac:dyDescent="0.25">
      <c r="A251">
        <v>130</v>
      </c>
      <c r="B251">
        <v>2</v>
      </c>
      <c r="C251" s="1">
        <v>1000000</v>
      </c>
      <c r="D251">
        <v>1</v>
      </c>
      <c r="E251">
        <v>0</v>
      </c>
      <c r="F251">
        <v>0.375</v>
      </c>
      <c r="G251">
        <v>4.375</v>
      </c>
      <c r="H251">
        <v>0.375</v>
      </c>
      <c r="I251">
        <v>0</v>
      </c>
      <c r="J251">
        <v>-8.2093520791477204</v>
      </c>
      <c r="K251">
        <v>-8.1912639105390799</v>
      </c>
      <c r="L251">
        <v>-1.0999485488560501</v>
      </c>
      <c r="M251">
        <v>55.560235175798098</v>
      </c>
      <c r="N251">
        <v>1.85460042430667E-2</v>
      </c>
      <c r="O251">
        <v>4.1887902039016396</v>
      </c>
      <c r="P251">
        <v>-3.69592789616744</v>
      </c>
      <c r="Q251">
        <v>11.9957976686448</v>
      </c>
      <c r="R251">
        <v>12.561220738813599</v>
      </c>
      <c r="S251">
        <v>11.439052950390501</v>
      </c>
      <c r="T251">
        <v>12.545778901043301</v>
      </c>
      <c r="U251">
        <v>8.9005237084020597E-2</v>
      </c>
      <c r="V251">
        <v>1.85031467686311</v>
      </c>
      <c r="W251">
        <v>2</v>
      </c>
      <c r="X251">
        <v>149.273534653821</v>
      </c>
      <c r="Y251">
        <v>1</v>
      </c>
    </row>
    <row r="252" spans="1:25" x14ac:dyDescent="0.25">
      <c r="A252">
        <v>130</v>
      </c>
      <c r="B252">
        <v>2</v>
      </c>
      <c r="C252" s="1">
        <v>1000000</v>
      </c>
      <c r="D252">
        <v>1</v>
      </c>
      <c r="E252">
        <v>0</v>
      </c>
      <c r="F252">
        <v>0.4</v>
      </c>
      <c r="G252">
        <v>4.4000000000000004</v>
      </c>
      <c r="H252">
        <v>0.4</v>
      </c>
      <c r="I252">
        <v>0</v>
      </c>
      <c r="J252">
        <v>-7.5709182322177204</v>
      </c>
      <c r="K252">
        <v>-7.5611617131725097</v>
      </c>
      <c r="L252">
        <v>0.14412881032970501</v>
      </c>
      <c r="M252">
        <v>56.292035435618303</v>
      </c>
      <c r="N252">
        <v>0.120422244940234</v>
      </c>
      <c r="O252">
        <v>4.1887901627970399</v>
      </c>
      <c r="P252">
        <v>-3.6313530578016802</v>
      </c>
      <c r="Q252">
        <v>11.5703309694557</v>
      </c>
      <c r="R252">
        <v>12.5612421978961</v>
      </c>
      <c r="S252">
        <v>10.641981603576101</v>
      </c>
      <c r="T252">
        <v>12.545864632790799</v>
      </c>
      <c r="U252">
        <v>8.2914675233417306E-2</v>
      </c>
      <c r="V252">
        <v>1.77897711976885</v>
      </c>
      <c r="W252">
        <v>2</v>
      </c>
      <c r="X252">
        <v>162.78156332796601</v>
      </c>
      <c r="Y252">
        <v>1</v>
      </c>
    </row>
    <row r="253" spans="1:25" x14ac:dyDescent="0.25">
      <c r="A253">
        <v>130</v>
      </c>
      <c r="B253">
        <v>2</v>
      </c>
      <c r="C253" s="1">
        <v>1000000</v>
      </c>
      <c r="D253">
        <v>1</v>
      </c>
      <c r="E253">
        <v>0</v>
      </c>
      <c r="F253">
        <v>0.42499999999999999</v>
      </c>
      <c r="G253">
        <v>4.4249999999999998</v>
      </c>
      <c r="H253">
        <v>0.42499999999999999</v>
      </c>
      <c r="I253">
        <v>0</v>
      </c>
      <c r="J253">
        <v>-6.8070659717285098</v>
      </c>
      <c r="K253">
        <v>-6.7939960067909801</v>
      </c>
      <c r="L253">
        <v>1.2650629613108599</v>
      </c>
      <c r="M253">
        <v>57.008397899902</v>
      </c>
      <c r="N253">
        <v>3.1341998664737498E-3</v>
      </c>
      <c r="O253">
        <v>4.1887902047864003</v>
      </c>
      <c r="P253">
        <v>-3.4048891949826698</v>
      </c>
      <c r="Q253">
        <v>11.2223044873777</v>
      </c>
      <c r="R253">
        <v>12.5612696644008</v>
      </c>
      <c r="S253">
        <v>10.012411547957701</v>
      </c>
      <c r="T253">
        <v>12.545974355482601</v>
      </c>
      <c r="U253">
        <v>0.11635081518564901</v>
      </c>
      <c r="V253">
        <v>1.7238043911084</v>
      </c>
      <c r="W253">
        <v>2</v>
      </c>
      <c r="X253">
        <v>173.65013698004299</v>
      </c>
      <c r="Y253">
        <v>1</v>
      </c>
    </row>
    <row r="254" spans="1:25" x14ac:dyDescent="0.25">
      <c r="A254">
        <v>130</v>
      </c>
      <c r="B254">
        <v>2</v>
      </c>
      <c r="C254" s="1">
        <v>1000000</v>
      </c>
      <c r="D254">
        <v>1</v>
      </c>
      <c r="E254">
        <v>0</v>
      </c>
      <c r="F254">
        <v>0.45</v>
      </c>
      <c r="G254">
        <v>4.45</v>
      </c>
      <c r="H254">
        <v>0.45</v>
      </c>
      <c r="I254">
        <v>0</v>
      </c>
      <c r="J254">
        <v>-6.1094250226262803</v>
      </c>
      <c r="K254">
        <v>-6.1001374785725604</v>
      </c>
      <c r="L254">
        <v>2.2725942441501901</v>
      </c>
      <c r="M254">
        <v>57.676412092640099</v>
      </c>
      <c r="N254" s="1">
        <v>4.4561561884577702E-6</v>
      </c>
      <c r="O254">
        <v>4.1887902047864003</v>
      </c>
      <c r="P254">
        <v>-3.1592120951301998</v>
      </c>
      <c r="Q254">
        <v>10.921617306136801</v>
      </c>
      <c r="R254">
        <v>12.5613135012377</v>
      </c>
      <c r="S254">
        <v>9.4839627817611394</v>
      </c>
      <c r="T254">
        <v>12.546149507600401</v>
      </c>
      <c r="U254">
        <v>0.121792192940562</v>
      </c>
      <c r="V254">
        <v>1.6740070181736</v>
      </c>
      <c r="W254">
        <v>2</v>
      </c>
      <c r="X254">
        <v>-22.3331041875783</v>
      </c>
      <c r="Y254">
        <v>1</v>
      </c>
    </row>
    <row r="255" spans="1:25" x14ac:dyDescent="0.25">
      <c r="A255">
        <v>130</v>
      </c>
      <c r="B255">
        <v>2</v>
      </c>
      <c r="C255" s="1">
        <v>1000000</v>
      </c>
      <c r="D255">
        <v>1</v>
      </c>
      <c r="E255">
        <v>0</v>
      </c>
      <c r="F255">
        <v>0.47499999999999998</v>
      </c>
      <c r="G255">
        <v>4.4749999999999996</v>
      </c>
      <c r="H255">
        <v>0.47499999999999998</v>
      </c>
      <c r="I255">
        <v>0</v>
      </c>
      <c r="J255">
        <v>-5.5141696055260301</v>
      </c>
      <c r="K255">
        <v>-5.5039612065948296</v>
      </c>
      <c r="L255">
        <v>3.18405425273779</v>
      </c>
      <c r="M255">
        <v>58.287950356028801</v>
      </c>
      <c r="N255">
        <v>0.123761473984137</v>
      </c>
      <c r="O255">
        <v>4.1887901791366904</v>
      </c>
      <c r="P255">
        <v>-2.93022422383642</v>
      </c>
      <c r="Q255">
        <v>10.6503509423009</v>
      </c>
      <c r="R255">
        <v>12.5612603517731</v>
      </c>
      <c r="S255">
        <v>9.0176600865550807</v>
      </c>
      <c r="T255">
        <v>12.545937144243201</v>
      </c>
      <c r="U255">
        <v>0.14806167107966001</v>
      </c>
      <c r="V255">
        <v>1.62679675425103</v>
      </c>
      <c r="W255">
        <v>2</v>
      </c>
      <c r="X255">
        <v>-175.229443750168</v>
      </c>
      <c r="Y255">
        <v>1</v>
      </c>
    </row>
    <row r="256" spans="1:25" x14ac:dyDescent="0.25">
      <c r="A256">
        <v>130</v>
      </c>
      <c r="B256">
        <v>2</v>
      </c>
      <c r="C256" s="1">
        <v>1000000</v>
      </c>
      <c r="D256">
        <v>1</v>
      </c>
      <c r="E256">
        <v>0</v>
      </c>
      <c r="F256">
        <v>0.5</v>
      </c>
      <c r="G256">
        <v>4.5</v>
      </c>
      <c r="H256">
        <v>0.5</v>
      </c>
      <c r="I256">
        <v>0</v>
      </c>
      <c r="J256">
        <v>-5.0252708588718997</v>
      </c>
      <c r="K256">
        <v>-5.0001819462735702</v>
      </c>
      <c r="L256">
        <v>4.0089152400884096</v>
      </c>
      <c r="M256">
        <v>58.8494399101723</v>
      </c>
      <c r="N256">
        <v>0.124707127738067</v>
      </c>
      <c r="O256">
        <v>4.1887902043702798</v>
      </c>
      <c r="P256">
        <v>-2.7238548017853299</v>
      </c>
      <c r="Q256">
        <v>10.405361543355401</v>
      </c>
      <c r="R256">
        <v>12.5613017479268</v>
      </c>
      <c r="S256">
        <v>8.6076909583256302</v>
      </c>
      <c r="T256">
        <v>12.5461025474776</v>
      </c>
      <c r="U256">
        <v>0.155980008000315</v>
      </c>
      <c r="V256">
        <v>1.5842095984865601</v>
      </c>
      <c r="W256">
        <v>2</v>
      </c>
      <c r="X256">
        <v>-162.200361411458</v>
      </c>
      <c r="Y256">
        <v>1</v>
      </c>
    </row>
    <row r="257" spans="1:25" x14ac:dyDescent="0.25">
      <c r="A257">
        <v>130</v>
      </c>
      <c r="B257">
        <v>2</v>
      </c>
      <c r="C257" s="1">
        <v>1000000</v>
      </c>
      <c r="D257">
        <v>1</v>
      </c>
      <c r="E257">
        <v>0</v>
      </c>
      <c r="F257">
        <v>0.52500000000000002</v>
      </c>
      <c r="G257">
        <v>4.5250000000000004</v>
      </c>
      <c r="H257">
        <v>0.52500000000000002</v>
      </c>
      <c r="I257">
        <v>0</v>
      </c>
      <c r="J257">
        <v>-4.5808039164655003</v>
      </c>
      <c r="K257">
        <v>-4.5726839473467003</v>
      </c>
      <c r="L257">
        <v>4.7588909331123004</v>
      </c>
      <c r="M257">
        <v>59.364910311539397</v>
      </c>
      <c r="N257">
        <v>8.4359747124716597E-2</v>
      </c>
      <c r="O257">
        <v>4.1887902040554001</v>
      </c>
      <c r="P257">
        <v>-2.53922327298765</v>
      </c>
      <c r="Q257">
        <v>10.1828700606618</v>
      </c>
      <c r="R257">
        <v>12.561299098316001</v>
      </c>
      <c r="S257">
        <v>8.2428708771030603</v>
      </c>
      <c r="T257">
        <v>12.5460919618281</v>
      </c>
      <c r="U257">
        <v>0.16750586997854899</v>
      </c>
      <c r="V257">
        <v>1.54455153097058</v>
      </c>
      <c r="W257">
        <v>2</v>
      </c>
      <c r="X257">
        <v>-159.69444546796399</v>
      </c>
      <c r="Y257">
        <v>1</v>
      </c>
    </row>
    <row r="258" spans="1:25" x14ac:dyDescent="0.25">
      <c r="A258">
        <v>130</v>
      </c>
      <c r="B258">
        <v>2</v>
      </c>
      <c r="C258" s="1">
        <v>1000000</v>
      </c>
      <c r="D258">
        <v>1</v>
      </c>
      <c r="E258">
        <v>0</v>
      </c>
      <c r="F258">
        <v>0.55000000000000004</v>
      </c>
      <c r="G258">
        <v>4.55</v>
      </c>
      <c r="H258">
        <v>0.55000000000000004</v>
      </c>
      <c r="I258">
        <v>0</v>
      </c>
      <c r="J258">
        <v>-4.21200609259368</v>
      </c>
      <c r="K258">
        <v>-4.2033683881301096</v>
      </c>
      <c r="L258">
        <v>5.4483327480443799</v>
      </c>
      <c r="M258">
        <v>59.836914644264397</v>
      </c>
      <c r="N258">
        <v>0.27321590136499802</v>
      </c>
      <c r="O258">
        <v>4.1887901820901803</v>
      </c>
      <c r="P258">
        <v>-2.3746681301879198</v>
      </c>
      <c r="Q258">
        <v>9.9719291649296693</v>
      </c>
      <c r="R258">
        <v>12.561244688067999</v>
      </c>
      <c r="S258">
        <v>7.9049368349026103</v>
      </c>
      <c r="T258">
        <v>12.5458745649173</v>
      </c>
      <c r="U258">
        <v>0.19567216282230299</v>
      </c>
      <c r="V258">
        <v>1.5078249436836499</v>
      </c>
      <c r="W258">
        <v>2</v>
      </c>
      <c r="X258">
        <v>-163.76983325430501</v>
      </c>
      <c r="Y258">
        <v>1</v>
      </c>
    </row>
    <row r="259" spans="1:25" x14ac:dyDescent="0.25">
      <c r="A259">
        <v>130</v>
      </c>
      <c r="B259">
        <v>2</v>
      </c>
      <c r="C259" s="1">
        <v>1000000</v>
      </c>
      <c r="D259">
        <v>1</v>
      </c>
      <c r="E259">
        <v>0</v>
      </c>
      <c r="F259">
        <v>0.57499999999999996</v>
      </c>
      <c r="G259">
        <v>4.5750000000000002</v>
      </c>
      <c r="H259">
        <v>0.57499999999999996</v>
      </c>
      <c r="I259">
        <v>0</v>
      </c>
      <c r="J259">
        <v>-3.8931676776205202</v>
      </c>
      <c r="K259">
        <v>-3.8849473202045699</v>
      </c>
      <c r="L259">
        <v>6.0842379108605202</v>
      </c>
      <c r="M259">
        <v>60.274778979727003</v>
      </c>
      <c r="N259">
        <v>0.225975567406484</v>
      </c>
      <c r="O259">
        <v>4.1887901942925598</v>
      </c>
      <c r="P259">
        <v>-2.22735392666414</v>
      </c>
      <c r="Q259">
        <v>9.7758209733156001</v>
      </c>
      <c r="R259">
        <v>12.561225016532999</v>
      </c>
      <c r="S259">
        <v>7.59696534321517</v>
      </c>
      <c r="T259">
        <v>12.5457959628573</v>
      </c>
      <c r="U259">
        <v>0.20941017339568799</v>
      </c>
      <c r="V259">
        <v>1.47204566046483</v>
      </c>
      <c r="W259">
        <v>2</v>
      </c>
      <c r="X259">
        <v>-168.23736496908299</v>
      </c>
      <c r="Y259">
        <v>1</v>
      </c>
    </row>
    <row r="260" spans="1:25" x14ac:dyDescent="0.25">
      <c r="A260">
        <v>130</v>
      </c>
      <c r="B260">
        <v>2</v>
      </c>
      <c r="C260" s="1">
        <v>1000000</v>
      </c>
      <c r="D260">
        <v>1</v>
      </c>
      <c r="E260">
        <v>0</v>
      </c>
      <c r="F260">
        <v>0.6</v>
      </c>
      <c r="G260">
        <v>4.5999999999999996</v>
      </c>
      <c r="H260">
        <v>0.6</v>
      </c>
      <c r="I260">
        <v>0</v>
      </c>
      <c r="J260">
        <v>-3.6141804516209302</v>
      </c>
      <c r="K260">
        <v>-3.6050910746939602</v>
      </c>
      <c r="L260">
        <v>6.6732871561347196</v>
      </c>
      <c r="M260">
        <v>60.677795800647999</v>
      </c>
      <c r="N260">
        <v>0.28414168559789699</v>
      </c>
      <c r="O260">
        <v>4.1887901891691302</v>
      </c>
      <c r="P260">
        <v>-2.0945587837535302</v>
      </c>
      <c r="Q260">
        <v>9.5881235562218592</v>
      </c>
      <c r="R260">
        <v>12.5611925773088</v>
      </c>
      <c r="S260">
        <v>7.3077569462861103</v>
      </c>
      <c r="T260">
        <v>12.5456663420039</v>
      </c>
      <c r="U260">
        <v>0.21361095091722701</v>
      </c>
      <c r="V260">
        <v>1.43908492342843</v>
      </c>
      <c r="W260">
        <v>2</v>
      </c>
      <c r="X260">
        <v>-147.114776636187</v>
      </c>
      <c r="Y260">
        <v>1</v>
      </c>
    </row>
    <row r="261" spans="1:25" x14ac:dyDescent="0.25">
      <c r="A261">
        <v>130</v>
      </c>
      <c r="B261">
        <v>2</v>
      </c>
      <c r="C261" s="1">
        <v>1000000</v>
      </c>
      <c r="D261">
        <v>1</v>
      </c>
      <c r="E261">
        <v>0</v>
      </c>
      <c r="F261">
        <v>0.625</v>
      </c>
      <c r="G261">
        <v>4.625</v>
      </c>
      <c r="H261">
        <v>0.625</v>
      </c>
      <c r="I261">
        <v>0</v>
      </c>
      <c r="J261">
        <v>-3.3680647644572099</v>
      </c>
      <c r="K261">
        <v>-3.3589586309836901</v>
      </c>
      <c r="L261">
        <v>7.2211790626958603</v>
      </c>
      <c r="M261">
        <v>61.053024522553798</v>
      </c>
      <c r="N261">
        <v>0.21360249948079299</v>
      </c>
      <c r="O261">
        <v>4.1887902113747701</v>
      </c>
      <c r="P261">
        <v>-1.97404324595243</v>
      </c>
      <c r="Q261">
        <v>9.4104416602349499</v>
      </c>
      <c r="R261">
        <v>12.5611465288079</v>
      </c>
      <c r="S261">
        <v>7.0394318893443799</v>
      </c>
      <c r="T261">
        <v>12.5454823364235</v>
      </c>
      <c r="U261">
        <v>0.22983222457062399</v>
      </c>
      <c r="V261">
        <v>1.40721512275535</v>
      </c>
      <c r="W261">
        <v>2</v>
      </c>
      <c r="X261">
        <v>-162.41262933172899</v>
      </c>
      <c r="Y261">
        <v>1</v>
      </c>
    </row>
    <row r="262" spans="1:25" x14ac:dyDescent="0.25">
      <c r="A262">
        <v>130</v>
      </c>
      <c r="B262">
        <v>2</v>
      </c>
      <c r="C262" s="1">
        <v>1000000</v>
      </c>
      <c r="D262">
        <v>1</v>
      </c>
      <c r="E262">
        <v>0</v>
      </c>
      <c r="F262">
        <v>0.65</v>
      </c>
      <c r="G262">
        <v>4.6500000000000004</v>
      </c>
      <c r="H262">
        <v>0.65</v>
      </c>
      <c r="I262">
        <v>0</v>
      </c>
      <c r="J262">
        <v>-3.1621389094656598</v>
      </c>
      <c r="K262">
        <v>-3.1430074644724502</v>
      </c>
      <c r="L262">
        <v>7.7327676905624703</v>
      </c>
      <c r="M262">
        <v>61.4067651165794</v>
      </c>
      <c r="N262">
        <v>4.6423221818018001E-2</v>
      </c>
      <c r="O262">
        <v>4.1887902111673601</v>
      </c>
      <c r="P262">
        <v>-1.8642731389253799</v>
      </c>
      <c r="Q262">
        <v>9.2450395392502198</v>
      </c>
      <c r="R262">
        <v>12.5611156388499</v>
      </c>
      <c r="S262">
        <v>6.7940619275200396</v>
      </c>
      <c r="T262">
        <v>12.5453589012613</v>
      </c>
      <c r="U262">
        <v>0.23608732254144199</v>
      </c>
      <c r="V262">
        <v>1.3758655719094299</v>
      </c>
      <c r="W262">
        <v>2</v>
      </c>
      <c r="X262">
        <v>-162.39912439369499</v>
      </c>
      <c r="Y262">
        <v>1</v>
      </c>
    </row>
    <row r="263" spans="1:25" x14ac:dyDescent="0.25">
      <c r="A263">
        <v>130</v>
      </c>
      <c r="B263">
        <v>2</v>
      </c>
      <c r="C263" s="1">
        <v>1000000</v>
      </c>
      <c r="D263">
        <v>1</v>
      </c>
      <c r="E263">
        <v>0</v>
      </c>
      <c r="F263">
        <v>0.67500000000000004</v>
      </c>
      <c r="G263">
        <v>4.6749999999999998</v>
      </c>
      <c r="H263">
        <v>0.67500000000000004</v>
      </c>
      <c r="I263">
        <v>0</v>
      </c>
      <c r="J263">
        <v>-2.9537284031779301</v>
      </c>
      <c r="K263">
        <v>-2.9421439412447601</v>
      </c>
      <c r="L263">
        <v>8.2119006408402004</v>
      </c>
      <c r="M263">
        <v>61.7272850141185</v>
      </c>
      <c r="N263">
        <v>1.9999737292854401E-2</v>
      </c>
      <c r="O263">
        <v>4.1887902047818502</v>
      </c>
      <c r="P263">
        <v>-1.76165085756319</v>
      </c>
      <c r="Q263">
        <v>9.0755387795286993</v>
      </c>
      <c r="R263">
        <v>12.5611440920107</v>
      </c>
      <c r="S263">
        <v>6.5471370126211701</v>
      </c>
      <c r="T263">
        <v>12.5454725984081</v>
      </c>
      <c r="U263">
        <v>0.233945860787514</v>
      </c>
      <c r="V263">
        <v>1.34709905535857</v>
      </c>
      <c r="W263">
        <v>2</v>
      </c>
      <c r="X263">
        <v>-167.876982995785</v>
      </c>
      <c r="Y263">
        <v>1</v>
      </c>
    </row>
    <row r="264" spans="1:25" x14ac:dyDescent="0.25">
      <c r="A264">
        <v>130</v>
      </c>
      <c r="B264">
        <v>2</v>
      </c>
      <c r="C264" s="1">
        <v>1000000</v>
      </c>
      <c r="D264">
        <v>1</v>
      </c>
      <c r="E264">
        <v>0</v>
      </c>
      <c r="F264">
        <v>0.7</v>
      </c>
      <c r="G264">
        <v>4.7</v>
      </c>
      <c r="H264">
        <v>0.7</v>
      </c>
      <c r="I264">
        <v>0</v>
      </c>
      <c r="J264">
        <v>-2.7792794704083001</v>
      </c>
      <c r="K264">
        <v>-2.7705619154318102</v>
      </c>
      <c r="L264">
        <v>8.6620146755730794</v>
      </c>
      <c r="M264">
        <v>62.038152662118101</v>
      </c>
      <c r="N264">
        <v>6.4914731301587703E-3</v>
      </c>
      <c r="O264">
        <v>4.1887902047864296</v>
      </c>
      <c r="P264">
        <v>-1.6700351642403699</v>
      </c>
      <c r="Q264">
        <v>8.9239771879169094</v>
      </c>
      <c r="R264">
        <v>12.561183479321601</v>
      </c>
      <c r="S264">
        <v>6.3302803502085796</v>
      </c>
      <c r="T264">
        <v>12.545629984248</v>
      </c>
      <c r="U264">
        <v>0.23881438150175199</v>
      </c>
      <c r="V264">
        <v>1.3184614349911901</v>
      </c>
      <c r="W264">
        <v>2</v>
      </c>
      <c r="X264">
        <v>-157.82694918114399</v>
      </c>
      <c r="Y264">
        <v>1</v>
      </c>
    </row>
    <row r="265" spans="1:25" x14ac:dyDescent="0.25">
      <c r="A265">
        <v>130</v>
      </c>
      <c r="B265">
        <v>2</v>
      </c>
      <c r="C265" s="1">
        <v>1000000</v>
      </c>
      <c r="D265">
        <v>1</v>
      </c>
      <c r="E265">
        <v>0</v>
      </c>
      <c r="F265">
        <v>0.72499999999999998</v>
      </c>
      <c r="G265">
        <v>4.7249999999999996</v>
      </c>
      <c r="H265">
        <v>0.72499999999999998</v>
      </c>
      <c r="I265">
        <v>0</v>
      </c>
      <c r="J265">
        <v>-2.6197006016211599</v>
      </c>
      <c r="K265">
        <v>-2.6107362849536901</v>
      </c>
      <c r="L265">
        <v>9.0856610379666307</v>
      </c>
      <c r="M265">
        <v>62.324663768654503</v>
      </c>
      <c r="N265">
        <v>9.9318488942497507E-3</v>
      </c>
      <c r="O265">
        <v>4.1887902047864296</v>
      </c>
      <c r="P265">
        <v>-1.5830636886164899</v>
      </c>
      <c r="Q265">
        <v>8.7724394458945607</v>
      </c>
      <c r="R265">
        <v>12.561168264231799</v>
      </c>
      <c r="S265">
        <v>6.1170384022132298</v>
      </c>
      <c r="T265">
        <v>12.545569179391901</v>
      </c>
      <c r="U265">
        <v>0.239130124327044</v>
      </c>
      <c r="V265">
        <v>1.2909485727827901</v>
      </c>
      <c r="W265">
        <v>2</v>
      </c>
      <c r="X265">
        <v>-168.61573709110701</v>
      </c>
      <c r="Y265">
        <v>1</v>
      </c>
    </row>
    <row r="266" spans="1:25" x14ac:dyDescent="0.25">
      <c r="A266">
        <v>130</v>
      </c>
      <c r="B266">
        <v>2</v>
      </c>
      <c r="C266" s="1">
        <v>1000000</v>
      </c>
      <c r="D266">
        <v>1</v>
      </c>
      <c r="E266">
        <v>0</v>
      </c>
      <c r="F266">
        <v>0.75</v>
      </c>
      <c r="G266">
        <v>4.75</v>
      </c>
      <c r="H266">
        <v>0.75</v>
      </c>
      <c r="I266">
        <v>0</v>
      </c>
      <c r="J266">
        <v>-2.47393817616347</v>
      </c>
      <c r="K266">
        <v>-2.4647456483091599</v>
      </c>
      <c r="L266">
        <v>9.4854788339801992</v>
      </c>
      <c r="M266">
        <v>62.5925033671843</v>
      </c>
      <c r="N266">
        <v>5.6426487403848202E-2</v>
      </c>
      <c r="O266">
        <v>4.1887902047864296</v>
      </c>
      <c r="P266">
        <v>-1.5021813313250101</v>
      </c>
      <c r="Q266">
        <v>8.6238141683441398</v>
      </c>
      <c r="R266">
        <v>12.561194500013</v>
      </c>
      <c r="S266">
        <v>5.9115557729687103</v>
      </c>
      <c r="T266">
        <v>12.545674012265</v>
      </c>
      <c r="U266">
        <v>0.22771698029568799</v>
      </c>
      <c r="V266">
        <v>1.26407781585575</v>
      </c>
      <c r="W266">
        <v>2</v>
      </c>
      <c r="X266">
        <v>-163.93762673442299</v>
      </c>
      <c r="Y266">
        <v>1</v>
      </c>
    </row>
    <row r="267" spans="1:25" x14ac:dyDescent="0.25">
      <c r="A267">
        <v>130</v>
      </c>
      <c r="B267">
        <v>2</v>
      </c>
      <c r="C267" s="1">
        <v>1000000</v>
      </c>
      <c r="D267">
        <v>1</v>
      </c>
      <c r="E267">
        <v>0</v>
      </c>
      <c r="F267">
        <v>0.77500000000000002</v>
      </c>
      <c r="G267">
        <v>4.7750000000000004</v>
      </c>
      <c r="H267">
        <v>0.77500000000000002</v>
      </c>
      <c r="I267">
        <v>0</v>
      </c>
      <c r="J267">
        <v>-2.3354639162731901</v>
      </c>
      <c r="K267">
        <v>-2.3320944905889598</v>
      </c>
      <c r="L267">
        <v>9.8635458949137096</v>
      </c>
      <c r="M267">
        <v>62.845871400162899</v>
      </c>
      <c r="N267">
        <v>1.1344961015618001E-2</v>
      </c>
      <c r="O267">
        <v>4.1887902047829</v>
      </c>
      <c r="P267">
        <v>-1.4264738779708199</v>
      </c>
      <c r="Q267">
        <v>8.4814123881122701</v>
      </c>
      <c r="R267">
        <v>12.561208508454801</v>
      </c>
      <c r="S267">
        <v>5.7174850058319802</v>
      </c>
      <c r="T267">
        <v>12.5457299863372</v>
      </c>
      <c r="U267">
        <v>0.24547599258633099</v>
      </c>
      <c r="V267">
        <v>1.23752932500595</v>
      </c>
      <c r="W267">
        <v>2</v>
      </c>
      <c r="X267">
        <v>-164.466588498926</v>
      </c>
      <c r="Y267">
        <v>1</v>
      </c>
    </row>
    <row r="268" spans="1:25" x14ac:dyDescent="0.25">
      <c r="A268">
        <v>130</v>
      </c>
      <c r="B268">
        <v>2</v>
      </c>
      <c r="C268" s="1">
        <v>1000000</v>
      </c>
      <c r="D268">
        <v>1</v>
      </c>
      <c r="E268">
        <v>0</v>
      </c>
      <c r="F268">
        <v>0.8</v>
      </c>
      <c r="G268">
        <v>4.8</v>
      </c>
      <c r="H268">
        <v>0.8</v>
      </c>
      <c r="I268">
        <v>0</v>
      </c>
      <c r="J268">
        <v>-2.21866819184859</v>
      </c>
      <c r="K268">
        <v>-2.2114300847438901</v>
      </c>
      <c r="L268">
        <v>10.221442831530499</v>
      </c>
      <c r="M268">
        <v>63.087121279260501</v>
      </c>
      <c r="N268">
        <v>3.03741366207478E-2</v>
      </c>
      <c r="O268">
        <v>4.1887902048298704</v>
      </c>
      <c r="P268">
        <v>-1.3550857967154499</v>
      </c>
      <c r="Q268">
        <v>8.3455760857716594</v>
      </c>
      <c r="R268">
        <v>12.5612127924355</v>
      </c>
      <c r="S268">
        <v>5.53599104157753</v>
      </c>
      <c r="T268">
        <v>12.545747101702901</v>
      </c>
      <c r="U268">
        <v>0.22904201091352</v>
      </c>
      <c r="V268">
        <v>1.21147690616015</v>
      </c>
      <c r="W268">
        <v>2</v>
      </c>
      <c r="X268">
        <v>-149.35338065974901</v>
      </c>
      <c r="Y268">
        <v>1</v>
      </c>
    </row>
    <row r="269" spans="1:25" x14ac:dyDescent="0.25">
      <c r="A269">
        <v>130</v>
      </c>
      <c r="B269">
        <v>2</v>
      </c>
      <c r="C269" s="1">
        <v>1000000</v>
      </c>
      <c r="D269">
        <v>1</v>
      </c>
      <c r="E269">
        <v>0</v>
      </c>
      <c r="F269">
        <v>0.82499999999999996</v>
      </c>
      <c r="G269">
        <v>4.8250000000000002</v>
      </c>
      <c r="H269">
        <v>0.82499999999999996</v>
      </c>
      <c r="I269">
        <v>0</v>
      </c>
      <c r="J269">
        <v>-2.1055656904843199</v>
      </c>
      <c r="K269">
        <v>-2.10057526945325</v>
      </c>
      <c r="L269">
        <v>10.561241971808499</v>
      </c>
      <c r="M269">
        <v>63.314105813216102</v>
      </c>
      <c r="N269">
        <v>2.5964890384890002E-3</v>
      </c>
      <c r="O269">
        <v>4.1887902047864998</v>
      </c>
      <c r="P269">
        <v>-1.2885775550098499</v>
      </c>
      <c r="Q269">
        <v>8.2122965513338606</v>
      </c>
      <c r="R269">
        <v>12.5612253310908</v>
      </c>
      <c r="S269">
        <v>5.3604220439849497</v>
      </c>
      <c r="T269">
        <v>12.545797204141399</v>
      </c>
      <c r="U269">
        <v>0.18903548265994899</v>
      </c>
      <c r="V269">
        <v>1.18728575724747</v>
      </c>
      <c r="W269">
        <v>2</v>
      </c>
      <c r="X269">
        <v>-160.438052168795</v>
      </c>
      <c r="Y269">
        <v>1</v>
      </c>
    </row>
    <row r="270" spans="1:25" x14ac:dyDescent="0.25">
      <c r="A270">
        <v>130</v>
      </c>
      <c r="B270">
        <v>2</v>
      </c>
      <c r="C270" s="1">
        <v>1000000</v>
      </c>
      <c r="D270">
        <v>1</v>
      </c>
      <c r="E270">
        <v>0</v>
      </c>
      <c r="F270">
        <v>0.85</v>
      </c>
      <c r="G270">
        <v>4.8499999999999996</v>
      </c>
      <c r="H270">
        <v>0.85</v>
      </c>
      <c r="I270">
        <v>0</v>
      </c>
      <c r="J270">
        <v>-2.0075319690701399</v>
      </c>
      <c r="K270">
        <v>-1.9940269128082599</v>
      </c>
      <c r="L270">
        <v>10.883926101542301</v>
      </c>
      <c r="M270">
        <v>63.523346994771799</v>
      </c>
      <c r="N270">
        <v>7.1308212467697703E-3</v>
      </c>
      <c r="O270">
        <v>4.1887902047876997</v>
      </c>
      <c r="P270">
        <v>-1.2234847026943501</v>
      </c>
      <c r="Q270">
        <v>8.0757974443751692</v>
      </c>
      <c r="R270">
        <v>12.5612331252107</v>
      </c>
      <c r="S270">
        <v>5.1838987693857304</v>
      </c>
      <c r="T270">
        <v>12.5458283474642</v>
      </c>
      <c r="U270">
        <v>0.20956468069168799</v>
      </c>
      <c r="V270">
        <v>1.16318630669454</v>
      </c>
      <c r="W270">
        <v>2</v>
      </c>
      <c r="X270">
        <v>-161.09590960301699</v>
      </c>
      <c r="Y270">
        <v>1</v>
      </c>
    </row>
    <row r="271" spans="1:25" x14ac:dyDescent="0.25">
      <c r="A271">
        <v>130</v>
      </c>
      <c r="B271">
        <v>2</v>
      </c>
      <c r="C271" s="1">
        <v>1000000</v>
      </c>
      <c r="D271">
        <v>1</v>
      </c>
      <c r="E271">
        <v>0</v>
      </c>
      <c r="F271">
        <v>0.875</v>
      </c>
      <c r="G271">
        <v>4.875</v>
      </c>
      <c r="H271">
        <v>0.875</v>
      </c>
      <c r="I271">
        <v>0</v>
      </c>
      <c r="J271">
        <v>-1.90549189644281</v>
      </c>
      <c r="K271">
        <v>-1.9012798457269</v>
      </c>
      <c r="L271">
        <v>11.1909169956485</v>
      </c>
      <c r="M271">
        <v>63.731442657404997</v>
      </c>
      <c r="N271">
        <v>6.6808214729556697E-2</v>
      </c>
      <c r="O271">
        <v>4.1887902050051897</v>
      </c>
      <c r="P271">
        <v>-1.1634732575359501</v>
      </c>
      <c r="Q271">
        <v>7.9549427091783702</v>
      </c>
      <c r="R271">
        <v>12.5612442976437</v>
      </c>
      <c r="S271">
        <v>5.0299857739800196</v>
      </c>
      <c r="T271">
        <v>12.545872990253301</v>
      </c>
      <c r="U271">
        <v>0.195874003303839</v>
      </c>
      <c r="V271">
        <v>1.1394666040085299</v>
      </c>
      <c r="W271">
        <v>2</v>
      </c>
      <c r="X271">
        <v>-167.033926230318</v>
      </c>
      <c r="Y271">
        <v>1</v>
      </c>
    </row>
    <row r="272" spans="1:25" x14ac:dyDescent="0.25">
      <c r="A272">
        <v>130</v>
      </c>
      <c r="B272">
        <v>2</v>
      </c>
      <c r="C272" s="1">
        <v>1000000</v>
      </c>
      <c r="D272">
        <v>1</v>
      </c>
      <c r="E272">
        <v>0</v>
      </c>
      <c r="F272">
        <v>0.9</v>
      </c>
      <c r="G272">
        <v>4.9000000000000004</v>
      </c>
      <c r="H272">
        <v>0.9</v>
      </c>
      <c r="I272">
        <v>0</v>
      </c>
      <c r="J272">
        <v>-1.81966608039275</v>
      </c>
      <c r="K272">
        <v>-1.8080697112437101</v>
      </c>
      <c r="L272">
        <v>11.483372424404299</v>
      </c>
      <c r="M272">
        <v>63.914737211351699</v>
      </c>
      <c r="N272">
        <v>5.9366640163402297E-2</v>
      </c>
      <c r="O272">
        <v>4.1887902048009904</v>
      </c>
      <c r="P272">
        <v>-1.10505407406739</v>
      </c>
      <c r="Q272">
        <v>7.8191545486129703</v>
      </c>
      <c r="R272">
        <v>12.561265818536</v>
      </c>
      <c r="S272">
        <v>4.86004918512422</v>
      </c>
      <c r="T272">
        <v>12.545958983624701</v>
      </c>
      <c r="U272">
        <v>0.18933766099591101</v>
      </c>
      <c r="V272">
        <v>1.11593340022375</v>
      </c>
      <c r="W272">
        <v>2</v>
      </c>
      <c r="X272">
        <v>-157.100433184389</v>
      </c>
      <c r="Y272">
        <v>1</v>
      </c>
    </row>
    <row r="273" spans="1:25" x14ac:dyDescent="0.25">
      <c r="A273">
        <v>130</v>
      </c>
      <c r="B273">
        <v>2</v>
      </c>
      <c r="C273" s="1">
        <v>1000000</v>
      </c>
      <c r="D273">
        <v>1</v>
      </c>
      <c r="E273">
        <v>0</v>
      </c>
      <c r="F273">
        <v>0.92500000000000004</v>
      </c>
      <c r="G273">
        <v>4.9249999999999998</v>
      </c>
      <c r="H273">
        <v>0.92500000000000004</v>
      </c>
      <c r="I273">
        <v>0</v>
      </c>
      <c r="J273">
        <v>-1.7332154665687201</v>
      </c>
      <c r="K273">
        <v>-1.7245656754040799</v>
      </c>
      <c r="L273">
        <v>11.7620128328342</v>
      </c>
      <c r="M273">
        <v>64.095110998115999</v>
      </c>
      <c r="N273">
        <v>5.6843280588509397E-2</v>
      </c>
      <c r="O273">
        <v>4.1887902048944596</v>
      </c>
      <c r="P273">
        <v>-1.0496738012398901</v>
      </c>
      <c r="Q273">
        <v>7.6950743239819204</v>
      </c>
      <c r="R273">
        <v>12.5612733417497</v>
      </c>
      <c r="S273">
        <v>4.7071735827405297</v>
      </c>
      <c r="T273">
        <v>12.5459890445655</v>
      </c>
      <c r="U273">
        <v>0.233987852721703</v>
      </c>
      <c r="V273">
        <v>1.09338266359376</v>
      </c>
      <c r="W273">
        <v>2</v>
      </c>
      <c r="X273">
        <v>-168.41505223586901</v>
      </c>
      <c r="Y273">
        <v>1</v>
      </c>
    </row>
    <row r="274" spans="1:25" x14ac:dyDescent="0.25">
      <c r="A274">
        <v>130</v>
      </c>
      <c r="B274">
        <v>2</v>
      </c>
      <c r="C274" s="1">
        <v>1000000</v>
      </c>
      <c r="D274">
        <v>1</v>
      </c>
      <c r="E274">
        <v>0</v>
      </c>
      <c r="F274">
        <v>0.95</v>
      </c>
      <c r="G274">
        <v>4.95</v>
      </c>
      <c r="H274">
        <v>0.95</v>
      </c>
      <c r="I274">
        <v>0</v>
      </c>
      <c r="J274">
        <v>-1.65281138079468</v>
      </c>
      <c r="K274">
        <v>-1.6425546362330301</v>
      </c>
      <c r="L274">
        <v>12.0281238371187</v>
      </c>
      <c r="M274">
        <v>64.260246700067597</v>
      </c>
      <c r="N274">
        <v>0.107759080383551</v>
      </c>
      <c r="O274">
        <v>4.1887902050271402</v>
      </c>
      <c r="P274">
        <v>-0.99438886984850905</v>
      </c>
      <c r="Q274">
        <v>7.5661619353495597</v>
      </c>
      <c r="R274">
        <v>12.5612864345942</v>
      </c>
      <c r="S274">
        <v>4.54998943320384</v>
      </c>
      <c r="T274">
        <v>12.546041360056201</v>
      </c>
      <c r="U274">
        <v>0.21969476741652899</v>
      </c>
      <c r="V274">
        <v>1.07105760045256</v>
      </c>
      <c r="W274">
        <v>2</v>
      </c>
      <c r="X274">
        <v>-153.13744877269599</v>
      </c>
      <c r="Y274">
        <v>1</v>
      </c>
    </row>
    <row r="275" spans="1:25" x14ac:dyDescent="0.25">
      <c r="A275">
        <v>130</v>
      </c>
      <c r="B275">
        <v>2</v>
      </c>
      <c r="C275" s="1">
        <v>1000000</v>
      </c>
      <c r="D275">
        <v>1</v>
      </c>
      <c r="E275">
        <v>0</v>
      </c>
      <c r="F275">
        <v>0.97499999999999998</v>
      </c>
      <c r="G275">
        <v>4.9749999999999996</v>
      </c>
      <c r="H275">
        <v>0.97499999999999998</v>
      </c>
      <c r="I275">
        <v>0</v>
      </c>
      <c r="J275">
        <v>-1.5796651243161499</v>
      </c>
      <c r="K275">
        <v>-1.5697673039825799</v>
      </c>
      <c r="L275">
        <v>12.2820224676884</v>
      </c>
      <c r="M275">
        <v>64.422988509007595</v>
      </c>
      <c r="N275">
        <v>5.60364395961346E-2</v>
      </c>
      <c r="O275">
        <v>4.1887902048025998</v>
      </c>
      <c r="P275">
        <v>-0.94329860153732703</v>
      </c>
      <c r="Q275">
        <v>7.4472480817694597</v>
      </c>
      <c r="R275">
        <v>12.5612925856405</v>
      </c>
      <c r="S275">
        <v>4.40816496889693</v>
      </c>
      <c r="T275">
        <v>12.546065937717801</v>
      </c>
      <c r="U275">
        <v>0.23073706688868001</v>
      </c>
      <c r="V275">
        <v>1.0489447173986599</v>
      </c>
      <c r="W275">
        <v>2</v>
      </c>
      <c r="X275">
        <v>-159.165985429171</v>
      </c>
      <c r="Y275">
        <v>1</v>
      </c>
    </row>
    <row r="276" spans="1:25" x14ac:dyDescent="0.25">
      <c r="A276">
        <v>130</v>
      </c>
      <c r="B276">
        <v>2</v>
      </c>
      <c r="C276" s="1">
        <v>1000000</v>
      </c>
      <c r="D276">
        <v>1</v>
      </c>
      <c r="E276">
        <v>0</v>
      </c>
      <c r="F276">
        <v>1</v>
      </c>
      <c r="G276">
        <v>5</v>
      </c>
      <c r="H276">
        <v>1</v>
      </c>
      <c r="I276">
        <v>0</v>
      </c>
      <c r="J276">
        <v>-1.50948435821769</v>
      </c>
      <c r="K276">
        <v>-1.5023914233526401</v>
      </c>
      <c r="L276">
        <v>12.5223433778974</v>
      </c>
      <c r="M276">
        <v>64.575876210659303</v>
      </c>
      <c r="N276">
        <v>2.1588022245811599E-2</v>
      </c>
      <c r="O276">
        <v>4.1887902047860397</v>
      </c>
      <c r="P276">
        <v>-0.89485997676782403</v>
      </c>
      <c r="Q276">
        <v>7.3319648264469697</v>
      </c>
      <c r="R276">
        <v>12.561243954279</v>
      </c>
      <c r="S276">
        <v>4.2723922218619599</v>
      </c>
      <c r="T276">
        <v>12.545871620485</v>
      </c>
      <c r="U276">
        <v>0.123977308277257</v>
      </c>
      <c r="V276">
        <v>1.0297382366071599</v>
      </c>
      <c r="W276">
        <v>2</v>
      </c>
      <c r="X276">
        <v>-164.966792995238</v>
      </c>
      <c r="Y276">
        <v>1</v>
      </c>
    </row>
    <row r="277" spans="1:25" x14ac:dyDescent="0.25">
      <c r="A277">
        <v>130</v>
      </c>
      <c r="B277">
        <v>2</v>
      </c>
      <c r="C277" s="1">
        <v>1000000</v>
      </c>
      <c r="D277">
        <v>1</v>
      </c>
      <c r="E277">
        <v>0</v>
      </c>
      <c r="F277">
        <v>1.0249999999999999</v>
      </c>
      <c r="G277">
        <v>5.0250000000000004</v>
      </c>
      <c r="H277">
        <v>1.0249999999999999</v>
      </c>
      <c r="I277">
        <v>0</v>
      </c>
      <c r="J277">
        <v>-1.44474893949803</v>
      </c>
      <c r="K277">
        <v>-1.4363126512693301</v>
      </c>
      <c r="L277">
        <v>12.7517986649321</v>
      </c>
      <c r="M277">
        <v>64.718119836436799</v>
      </c>
      <c r="N277">
        <v>0.33456839147515999</v>
      </c>
      <c r="O277">
        <v>4.1887902179357397</v>
      </c>
      <c r="P277">
        <v>-0.84576861298760397</v>
      </c>
      <c r="Q277">
        <v>7.2139447769391296</v>
      </c>
      <c r="R277">
        <v>12.5613030164735</v>
      </c>
      <c r="S277">
        <v>4.1363751076932802</v>
      </c>
      <c r="T277">
        <v>12.546107624173001</v>
      </c>
      <c r="U277">
        <v>-0.118200533515066</v>
      </c>
      <c r="V277">
        <v>1.00783490681455</v>
      </c>
      <c r="W277">
        <v>2</v>
      </c>
      <c r="X277">
        <v>-170.869504937221</v>
      </c>
      <c r="Y277">
        <v>1</v>
      </c>
    </row>
    <row r="278" spans="1:25" x14ac:dyDescent="0.25">
      <c r="A278">
        <v>130</v>
      </c>
      <c r="B278">
        <v>2</v>
      </c>
      <c r="C278" s="1">
        <v>1000000</v>
      </c>
      <c r="D278">
        <v>1</v>
      </c>
      <c r="E278">
        <v>0</v>
      </c>
      <c r="F278">
        <v>1.05</v>
      </c>
      <c r="G278">
        <v>5.05</v>
      </c>
      <c r="H278">
        <v>1.05</v>
      </c>
      <c r="I278">
        <v>0</v>
      </c>
      <c r="J278">
        <v>-1.38246959033795</v>
      </c>
      <c r="K278">
        <v>-1.37720311182101</v>
      </c>
      <c r="L278">
        <v>12.973579980572399</v>
      </c>
      <c r="M278">
        <v>64.859215234212002</v>
      </c>
      <c r="N278">
        <v>1.56853233224344E-2</v>
      </c>
      <c r="O278">
        <v>4.1887902047834604</v>
      </c>
      <c r="P278">
        <v>-0.80073805392588904</v>
      </c>
      <c r="Q278">
        <v>7.1034724412123902</v>
      </c>
      <c r="R278">
        <v>12.561302800467301</v>
      </c>
      <c r="S278">
        <v>4.0108581714208098</v>
      </c>
      <c r="T278">
        <v>12.546106762055</v>
      </c>
      <c r="U278">
        <v>-0.12053378667938</v>
      </c>
      <c r="V278">
        <v>0.98708097961638896</v>
      </c>
      <c r="W278">
        <v>2</v>
      </c>
      <c r="X278">
        <v>-177.12606799301099</v>
      </c>
      <c r="Y278">
        <v>1</v>
      </c>
    </row>
    <row r="279" spans="1:25" x14ac:dyDescent="0.25">
      <c r="A279">
        <v>130</v>
      </c>
      <c r="B279">
        <v>2</v>
      </c>
      <c r="C279" s="1">
        <v>1000000</v>
      </c>
      <c r="D279">
        <v>1</v>
      </c>
      <c r="E279">
        <v>0</v>
      </c>
      <c r="F279">
        <v>1.075</v>
      </c>
      <c r="G279">
        <v>5.0750000000000002</v>
      </c>
      <c r="H279">
        <v>1.075</v>
      </c>
      <c r="I279">
        <v>0</v>
      </c>
      <c r="J279">
        <v>-1.3225042124598301</v>
      </c>
      <c r="K279">
        <v>-1.3186663208442899</v>
      </c>
      <c r="L279">
        <v>13.1858316426756</v>
      </c>
      <c r="M279">
        <v>64.988271110407695</v>
      </c>
      <c r="N279">
        <v>0.28299166138013498</v>
      </c>
      <c r="O279">
        <v>4.1887902138301998</v>
      </c>
      <c r="P279">
        <v>-0.75558250664233695</v>
      </c>
      <c r="Q279">
        <v>6.9874290098524403</v>
      </c>
      <c r="R279">
        <v>12.561302505398899</v>
      </c>
      <c r="S279">
        <v>3.8814340746824798</v>
      </c>
      <c r="T279">
        <v>12.5461055840378</v>
      </c>
      <c r="U279">
        <v>-0.113828760302808</v>
      </c>
      <c r="V279">
        <v>0.96593808934096503</v>
      </c>
      <c r="W279">
        <v>2</v>
      </c>
      <c r="X279">
        <v>-177.959346398458</v>
      </c>
      <c r="Y279">
        <v>1</v>
      </c>
    </row>
    <row r="280" spans="1:25" x14ac:dyDescent="0.25">
      <c r="A280">
        <v>130</v>
      </c>
      <c r="B280">
        <v>2</v>
      </c>
      <c r="C280" s="1">
        <v>1000000</v>
      </c>
      <c r="D280">
        <v>1</v>
      </c>
      <c r="E280">
        <v>0</v>
      </c>
      <c r="F280">
        <v>1.1000000000000001</v>
      </c>
      <c r="G280">
        <v>5.0999999999999996</v>
      </c>
      <c r="H280">
        <v>1.1000000000000001</v>
      </c>
      <c r="I280">
        <v>0</v>
      </c>
      <c r="J280">
        <v>-1.26457088404117</v>
      </c>
      <c r="K280">
        <v>-1.2603795320921201</v>
      </c>
      <c r="L280">
        <v>13.387267896741401</v>
      </c>
      <c r="M280">
        <v>65.104260562297696</v>
      </c>
      <c r="N280">
        <v>0.25721174809677699</v>
      </c>
      <c r="O280">
        <v>4.18879020245594</v>
      </c>
      <c r="P280">
        <v>-0.70940583154562897</v>
      </c>
      <c r="Q280">
        <v>6.86648232480806</v>
      </c>
      <c r="R280">
        <v>12.561314948860099</v>
      </c>
      <c r="S280">
        <v>3.7484432895392299</v>
      </c>
      <c r="T280">
        <v>12.5461552947655</v>
      </c>
      <c r="U280">
        <v>-0.39209286961669898</v>
      </c>
      <c r="V280">
        <v>0.94507372638583897</v>
      </c>
      <c r="W280">
        <v>2</v>
      </c>
      <c r="X280">
        <v>-156.49829684731401</v>
      </c>
      <c r="Y280">
        <v>1</v>
      </c>
    </row>
    <row r="281" spans="1:25" x14ac:dyDescent="0.25">
      <c r="A281">
        <v>130</v>
      </c>
      <c r="B281">
        <v>2</v>
      </c>
      <c r="C281" s="1">
        <v>1000000</v>
      </c>
      <c r="D281">
        <v>1</v>
      </c>
      <c r="E281">
        <v>0</v>
      </c>
      <c r="F281">
        <v>1.125</v>
      </c>
      <c r="G281">
        <v>5.125</v>
      </c>
      <c r="H281">
        <v>1.125</v>
      </c>
      <c r="I281">
        <v>0</v>
      </c>
      <c r="J281">
        <v>-1.2103811180992301</v>
      </c>
      <c r="K281">
        <v>-1.2066634982964199</v>
      </c>
      <c r="L281">
        <v>13.5816160828641</v>
      </c>
      <c r="M281">
        <v>65.216761860001895</v>
      </c>
      <c r="N281">
        <v>0.34842532441141799</v>
      </c>
      <c r="O281">
        <v>4.1887901993659797</v>
      </c>
      <c r="P281">
        <v>-0.66600821310959402</v>
      </c>
      <c r="Q281">
        <v>6.7489098581995801</v>
      </c>
      <c r="R281">
        <v>12.5613069212614</v>
      </c>
      <c r="S281">
        <v>3.6211647570544598</v>
      </c>
      <c r="T281">
        <v>12.5461232256936</v>
      </c>
      <c r="U281">
        <v>-0.38129936801501801</v>
      </c>
      <c r="V281">
        <v>0.92314058705567203</v>
      </c>
      <c r="W281">
        <v>2</v>
      </c>
      <c r="X281">
        <v>-50.389649768229098</v>
      </c>
      <c r="Y281">
        <v>1</v>
      </c>
    </row>
    <row r="282" spans="1:25" x14ac:dyDescent="0.25">
      <c r="A282">
        <v>130</v>
      </c>
      <c r="B282">
        <v>2</v>
      </c>
      <c r="C282" s="1">
        <v>1000000</v>
      </c>
      <c r="D282">
        <v>1</v>
      </c>
      <c r="E282">
        <v>0</v>
      </c>
      <c r="F282">
        <v>1.1499999999999999</v>
      </c>
      <c r="G282">
        <v>5.15</v>
      </c>
      <c r="H282">
        <v>1.1499999999999999</v>
      </c>
      <c r="I282">
        <v>0</v>
      </c>
      <c r="J282">
        <v>-1.15839936785419</v>
      </c>
      <c r="K282">
        <v>-1.15197308876744</v>
      </c>
      <c r="L282">
        <v>13.7673195445203</v>
      </c>
      <c r="M282">
        <v>65.313908103967094</v>
      </c>
      <c r="N282">
        <v>0.40686651914226801</v>
      </c>
      <c r="O282">
        <v>4.1887901917994403</v>
      </c>
      <c r="P282">
        <v>-0.62224051102038602</v>
      </c>
      <c r="Q282">
        <v>6.6191384243866596</v>
      </c>
      <c r="R282">
        <v>12.5613138661795</v>
      </c>
      <c r="S282">
        <v>3.4833896845107999</v>
      </c>
      <c r="T282">
        <v>12.546150969560101</v>
      </c>
      <c r="U282">
        <v>-0.35931397453365299</v>
      </c>
      <c r="V282">
        <v>0.90208737637648095</v>
      </c>
      <c r="W282">
        <v>2</v>
      </c>
      <c r="X282">
        <v>112.05426108506801</v>
      </c>
      <c r="Y282">
        <v>1</v>
      </c>
    </row>
    <row r="283" spans="1:25" x14ac:dyDescent="0.25">
      <c r="A283">
        <v>130</v>
      </c>
      <c r="B283">
        <v>2</v>
      </c>
      <c r="C283" s="1">
        <v>1000000</v>
      </c>
      <c r="D283">
        <v>1</v>
      </c>
      <c r="E283">
        <v>0</v>
      </c>
      <c r="F283">
        <v>1.175</v>
      </c>
      <c r="G283">
        <v>5.1749999999999998</v>
      </c>
      <c r="H283">
        <v>1.175</v>
      </c>
      <c r="I283">
        <v>0</v>
      </c>
      <c r="J283">
        <v>-1.1081396350797199</v>
      </c>
      <c r="K283">
        <v>-1.10212844210442</v>
      </c>
      <c r="L283">
        <v>13.9455036478602</v>
      </c>
      <c r="M283">
        <v>65.410711196183001</v>
      </c>
      <c r="N283">
        <v>0.44975716869452798</v>
      </c>
      <c r="O283">
        <v>4.1887901706400399</v>
      </c>
      <c r="P283">
        <v>-0.58013619246071402</v>
      </c>
      <c r="Q283">
        <v>6.4976277173438</v>
      </c>
      <c r="R283">
        <v>12.561316457081499</v>
      </c>
      <c r="S283">
        <v>3.3568076824650799</v>
      </c>
      <c r="T283">
        <v>12.546161319958999</v>
      </c>
      <c r="U283">
        <v>-0.36645706427506503</v>
      </c>
      <c r="V283">
        <v>0.88077457306567497</v>
      </c>
      <c r="W283">
        <v>2</v>
      </c>
      <c r="X283">
        <v>178.620666666478</v>
      </c>
      <c r="Y283">
        <v>1</v>
      </c>
    </row>
    <row r="284" spans="1:25" x14ac:dyDescent="0.25">
      <c r="A284">
        <v>130</v>
      </c>
      <c r="B284">
        <v>2</v>
      </c>
      <c r="C284" s="1">
        <v>1000000</v>
      </c>
      <c r="D284">
        <v>1</v>
      </c>
      <c r="E284">
        <v>0</v>
      </c>
      <c r="F284">
        <v>1.2</v>
      </c>
      <c r="G284">
        <v>5.2</v>
      </c>
      <c r="H284">
        <v>1.2</v>
      </c>
      <c r="I284">
        <v>0</v>
      </c>
      <c r="J284">
        <v>-0.13570784382030801</v>
      </c>
      <c r="K284">
        <v>0</v>
      </c>
      <c r="L284">
        <v>14.9644178946032</v>
      </c>
      <c r="M284">
        <v>64.318415861641199</v>
      </c>
      <c r="N284">
        <v>7.1817495564400699E-4</v>
      </c>
      <c r="O284">
        <v>4.1887902047863301</v>
      </c>
      <c r="P284">
        <v>0.49485141182845199</v>
      </c>
      <c r="Q284">
        <v>0.95836023413802696</v>
      </c>
      <c r="R284">
        <v>12.561324502404601</v>
      </c>
      <c r="S284">
        <v>7.2981921998606397E-2</v>
      </c>
      <c r="T284">
        <v>12.546193461127899</v>
      </c>
      <c r="U284">
        <v>-1.3919590705979999E-2</v>
      </c>
      <c r="V284">
        <v>1.2877355790034399E-3</v>
      </c>
      <c r="W284">
        <v>2</v>
      </c>
      <c r="X284">
        <v>148.237089148889</v>
      </c>
      <c r="Y284">
        <v>1</v>
      </c>
    </row>
    <row r="285" spans="1:25" x14ac:dyDescent="0.25">
      <c r="A285">
        <v>130</v>
      </c>
      <c r="B285">
        <v>2</v>
      </c>
      <c r="C285" s="1">
        <v>1000000</v>
      </c>
      <c r="D285">
        <v>1</v>
      </c>
      <c r="E285">
        <v>0</v>
      </c>
      <c r="F285">
        <v>1.2250000000000001</v>
      </c>
      <c r="G285">
        <v>5.2249999999999996</v>
      </c>
      <c r="H285">
        <v>1.2250000000000001</v>
      </c>
      <c r="I285">
        <v>0</v>
      </c>
      <c r="J285">
        <v>-0.118347392800014</v>
      </c>
      <c r="K285">
        <v>0</v>
      </c>
      <c r="L285">
        <v>14.9476355263388</v>
      </c>
      <c r="M285">
        <v>64.255077618766407</v>
      </c>
      <c r="N285" s="1">
        <v>5.95444510940828E-5</v>
      </c>
      <c r="O285">
        <v>4.1887902047863301</v>
      </c>
      <c r="P285">
        <v>0.44849233095869301</v>
      </c>
      <c r="Q285">
        <v>0.141408742350215</v>
      </c>
      <c r="R285">
        <v>12.5613246095193</v>
      </c>
      <c r="S285">
        <v>1.5886463472483401E-3</v>
      </c>
      <c r="T285">
        <v>12.5461938890731</v>
      </c>
      <c r="U285">
        <v>-1.5637087966737E-2</v>
      </c>
      <c r="V285">
        <v>1.49504217631599E-4</v>
      </c>
      <c r="W285">
        <v>2</v>
      </c>
      <c r="X285">
        <v>149.66095243982099</v>
      </c>
      <c r="Y285">
        <v>1</v>
      </c>
    </row>
    <row r="286" spans="1:25" x14ac:dyDescent="0.25">
      <c r="A286">
        <v>130</v>
      </c>
      <c r="B286">
        <v>2</v>
      </c>
      <c r="C286" s="1">
        <v>1000000</v>
      </c>
      <c r="D286">
        <v>1</v>
      </c>
      <c r="E286">
        <v>0</v>
      </c>
      <c r="F286">
        <v>1.25</v>
      </c>
      <c r="G286">
        <v>5.25</v>
      </c>
      <c r="H286">
        <v>1.25</v>
      </c>
      <c r="I286">
        <v>0</v>
      </c>
      <c r="J286">
        <v>-0.100158847191252</v>
      </c>
      <c r="K286">
        <v>0</v>
      </c>
      <c r="L286">
        <v>14.9547485343506</v>
      </c>
      <c r="M286">
        <v>64.260500228352797</v>
      </c>
      <c r="N286" s="1">
        <v>5.9290483021205603E-5</v>
      </c>
      <c r="O286">
        <v>4.1887902047863399</v>
      </c>
      <c r="P286">
        <v>0.44492945004291201</v>
      </c>
      <c r="Q286">
        <v>0.59120134131001401</v>
      </c>
      <c r="R286">
        <v>12.5613246183722</v>
      </c>
      <c r="S286">
        <v>1.62423691142041E-4</v>
      </c>
      <c r="T286">
        <v>12.546193924442001</v>
      </c>
      <c r="U286">
        <v>-3.0138209157302802E-3</v>
      </c>
      <c r="V286" s="1">
        <v>3.6269568174771203E-5</v>
      </c>
      <c r="W286">
        <v>2</v>
      </c>
      <c r="X286">
        <v>149.478072501534</v>
      </c>
      <c r="Y286">
        <v>1</v>
      </c>
    </row>
    <row r="287" spans="1:25" x14ac:dyDescent="0.25">
      <c r="A287">
        <v>130</v>
      </c>
      <c r="B287">
        <v>2</v>
      </c>
      <c r="C287" s="1">
        <v>1000000</v>
      </c>
      <c r="D287">
        <v>1</v>
      </c>
      <c r="E287">
        <v>0</v>
      </c>
      <c r="F287">
        <v>1.2749999999999999</v>
      </c>
      <c r="G287">
        <v>5.2750000000000004</v>
      </c>
      <c r="H287">
        <v>1.2749999999999999</v>
      </c>
      <c r="I287">
        <v>0</v>
      </c>
      <c r="J287">
        <v>-9.9821432181512196E-2</v>
      </c>
      <c r="K287">
        <v>0</v>
      </c>
      <c r="L287">
        <v>15.0457938465597</v>
      </c>
      <c r="M287">
        <v>64.3508426143935</v>
      </c>
      <c r="N287" s="1">
        <v>5.3671371605921803E-5</v>
      </c>
      <c r="O287">
        <v>4.1887902047863301</v>
      </c>
      <c r="P287">
        <v>0.39250233339540602</v>
      </c>
      <c r="Q287">
        <v>0.36127069983092103</v>
      </c>
      <c r="R287">
        <v>12.561324624124101</v>
      </c>
      <c r="S287">
        <v>2.1873774194855299E-4</v>
      </c>
      <c r="T287">
        <v>12.5461939474221</v>
      </c>
      <c r="U287">
        <v>-3.2067922534592501E-2</v>
      </c>
      <c r="V287" s="1">
        <v>3.3685739351426199E-5</v>
      </c>
      <c r="W287">
        <v>2</v>
      </c>
      <c r="X287">
        <v>151.39000948955399</v>
      </c>
      <c r="Y287">
        <v>1</v>
      </c>
    </row>
    <row r="288" spans="1:25" x14ac:dyDescent="0.25">
      <c r="A288">
        <v>130</v>
      </c>
      <c r="B288">
        <v>2</v>
      </c>
      <c r="C288" s="1">
        <v>1000000</v>
      </c>
      <c r="D288">
        <v>1</v>
      </c>
      <c r="E288">
        <v>0</v>
      </c>
      <c r="F288">
        <v>1.3</v>
      </c>
      <c r="G288">
        <v>5.3</v>
      </c>
      <c r="H288">
        <v>1.3</v>
      </c>
      <c r="I288">
        <v>0</v>
      </c>
      <c r="J288">
        <v>7.5461176696659901E-2</v>
      </c>
      <c r="K288">
        <v>0</v>
      </c>
      <c r="L288">
        <v>14.9846634402225</v>
      </c>
      <c r="M288">
        <v>64.288864195067703</v>
      </c>
      <c r="N288">
        <v>2.7913750726185401E-3</v>
      </c>
      <c r="O288">
        <v>4.1887902047656898</v>
      </c>
      <c r="P288">
        <v>0.41311871851137599</v>
      </c>
      <c r="Q288">
        <v>0.35762474433552999</v>
      </c>
      <c r="R288">
        <v>12.5613246205902</v>
      </c>
      <c r="S288" s="1">
        <v>4.9657353646197398E-5</v>
      </c>
      <c r="T288">
        <v>12.546193933303501</v>
      </c>
      <c r="U288">
        <v>-3.3635072464353599E-2</v>
      </c>
      <c r="V288">
        <v>3.3639040846040802E-4</v>
      </c>
      <c r="W288">
        <v>2</v>
      </c>
      <c r="X288">
        <v>150.91854033521901</v>
      </c>
      <c r="Y288">
        <v>1</v>
      </c>
    </row>
    <row r="289" spans="1:25" x14ac:dyDescent="0.25">
      <c r="A289">
        <v>150</v>
      </c>
      <c r="B289">
        <v>2</v>
      </c>
      <c r="C289" s="1">
        <v>1000000</v>
      </c>
      <c r="D289">
        <v>1</v>
      </c>
      <c r="E289">
        <v>0</v>
      </c>
      <c r="F289">
        <v>0.3</v>
      </c>
      <c r="G289">
        <v>4.3</v>
      </c>
      <c r="H289">
        <v>0.3</v>
      </c>
      <c r="I289">
        <v>0</v>
      </c>
      <c r="J289">
        <v>-4.3945854946825698</v>
      </c>
      <c r="K289">
        <v>-4.3246642467516896</v>
      </c>
      <c r="L289">
        <v>-7.5924438133273204</v>
      </c>
      <c r="M289">
        <v>55.809200612022003</v>
      </c>
      <c r="N289">
        <v>0</v>
      </c>
      <c r="O289">
        <v>4.1887902047863799</v>
      </c>
      <c r="P289">
        <v>-1.22862212215549</v>
      </c>
      <c r="Q289">
        <v>14.3555141558003</v>
      </c>
      <c r="R289">
        <v>12.5613240647879</v>
      </c>
      <c r="S289">
        <v>16.274255049791801</v>
      </c>
      <c r="T289">
        <v>12.546191712775901</v>
      </c>
      <c r="U289">
        <v>9.7967921387818194E-2</v>
      </c>
      <c r="V289">
        <v>2</v>
      </c>
      <c r="W289">
        <v>2.3540199999999998</v>
      </c>
      <c r="X289">
        <v>63.719710305527599</v>
      </c>
      <c r="Y289">
        <v>1</v>
      </c>
    </row>
    <row r="290" spans="1:25" x14ac:dyDescent="0.25">
      <c r="A290">
        <v>150</v>
      </c>
      <c r="B290">
        <v>2</v>
      </c>
      <c r="C290" s="1">
        <v>1000000</v>
      </c>
      <c r="D290">
        <v>1</v>
      </c>
      <c r="E290">
        <v>0</v>
      </c>
      <c r="F290">
        <v>0.32500000000000001</v>
      </c>
      <c r="G290">
        <v>4.3250000000000002</v>
      </c>
      <c r="H290">
        <v>0.32500000000000001</v>
      </c>
      <c r="I290">
        <v>0</v>
      </c>
      <c r="J290">
        <v>-7.9381485191670196</v>
      </c>
      <c r="K290">
        <v>-8.0375441808978501</v>
      </c>
      <c r="L290">
        <v>-6.6373147302691597</v>
      </c>
      <c r="M290">
        <v>55.138740407733202</v>
      </c>
      <c r="N290">
        <v>3.2790176436044198E-4</v>
      </c>
      <c r="O290">
        <v>4.1887902047863799</v>
      </c>
      <c r="P290">
        <v>-3.0385142595771</v>
      </c>
      <c r="Q290">
        <v>13.5105896126045</v>
      </c>
      <c r="R290">
        <v>12.561322303796301</v>
      </c>
      <c r="S290">
        <v>14.397195787065501</v>
      </c>
      <c r="T290">
        <v>12.546184677319699</v>
      </c>
      <c r="U290">
        <v>9.1647661146225301E-2</v>
      </c>
      <c r="V290">
        <v>1.9867910915039799</v>
      </c>
      <c r="W290">
        <v>2.2024900000000001</v>
      </c>
      <c r="X290">
        <v>98.889399907634896</v>
      </c>
      <c r="Y290">
        <v>1</v>
      </c>
    </row>
    <row r="291" spans="1:25" x14ac:dyDescent="0.25">
      <c r="A291">
        <v>150</v>
      </c>
      <c r="B291">
        <v>2</v>
      </c>
      <c r="C291" s="1">
        <v>1000000</v>
      </c>
      <c r="D291">
        <v>1</v>
      </c>
      <c r="E291">
        <v>0</v>
      </c>
      <c r="F291">
        <v>0.35</v>
      </c>
      <c r="G291">
        <v>4.3499999999999996</v>
      </c>
      <c r="H291">
        <v>0.35</v>
      </c>
      <c r="I291">
        <v>0</v>
      </c>
      <c r="J291">
        <v>-9.91612115367281</v>
      </c>
      <c r="K291">
        <v>-9.7621858451184202</v>
      </c>
      <c r="L291">
        <v>-5.2187805111831498</v>
      </c>
      <c r="M291">
        <v>55.3210850013391</v>
      </c>
      <c r="N291" s="1">
        <v>2.3479273673693499E-5</v>
      </c>
      <c r="O291">
        <v>4.1887902047863799</v>
      </c>
      <c r="P291">
        <v>-4.2360653007256301</v>
      </c>
      <c r="Q291">
        <v>12.793578826055301</v>
      </c>
      <c r="R291">
        <v>12.5613192441736</v>
      </c>
      <c r="S291">
        <v>12.969779584267901</v>
      </c>
      <c r="T291">
        <v>12.546172453318</v>
      </c>
      <c r="U291">
        <v>0.13421316090972399</v>
      </c>
      <c r="V291">
        <v>1.91263114450793</v>
      </c>
      <c r="W291">
        <v>2.0793400000000002</v>
      </c>
      <c r="X291">
        <v>131.940051798746</v>
      </c>
      <c r="Y291">
        <v>1</v>
      </c>
    </row>
    <row r="292" spans="1:25" x14ac:dyDescent="0.25">
      <c r="A292">
        <v>150</v>
      </c>
      <c r="B292">
        <v>2</v>
      </c>
      <c r="C292" s="1">
        <v>1000000</v>
      </c>
      <c r="D292">
        <v>1</v>
      </c>
      <c r="E292">
        <v>0</v>
      </c>
      <c r="F292">
        <v>0.375</v>
      </c>
      <c r="G292">
        <v>4.375</v>
      </c>
      <c r="H292">
        <v>0.375</v>
      </c>
      <c r="I292">
        <v>0</v>
      </c>
      <c r="J292">
        <v>-9.4523769670911104</v>
      </c>
      <c r="K292">
        <v>-9.4064573907957207</v>
      </c>
      <c r="L292">
        <v>-3.70505185882234</v>
      </c>
      <c r="M292">
        <v>55.9387874639581</v>
      </c>
      <c r="N292">
        <v>2.5449502162305199E-3</v>
      </c>
      <c r="O292">
        <v>4.1887902043968097</v>
      </c>
      <c r="P292">
        <v>-4.4384330878922302</v>
      </c>
      <c r="Q292">
        <v>12.2548532294377</v>
      </c>
      <c r="R292">
        <v>12.5612347420878</v>
      </c>
      <c r="S292">
        <v>11.9355383322669</v>
      </c>
      <c r="T292">
        <v>12.5458348441684</v>
      </c>
      <c r="U292">
        <v>8.3745880197992797E-2</v>
      </c>
      <c r="V292">
        <v>1.8472459810123101</v>
      </c>
      <c r="W292">
        <v>2</v>
      </c>
      <c r="X292">
        <v>155.12573123018299</v>
      </c>
      <c r="Y292">
        <v>1</v>
      </c>
    </row>
    <row r="293" spans="1:25" x14ac:dyDescent="0.25">
      <c r="A293">
        <v>150</v>
      </c>
      <c r="B293">
        <v>2</v>
      </c>
      <c r="C293" s="1">
        <v>1000000</v>
      </c>
      <c r="D293">
        <v>1</v>
      </c>
      <c r="E293">
        <v>0</v>
      </c>
      <c r="F293">
        <v>0.4</v>
      </c>
      <c r="G293">
        <v>4.4000000000000004</v>
      </c>
      <c r="H293">
        <v>0.4</v>
      </c>
      <c r="I293">
        <v>0</v>
      </c>
      <c r="J293">
        <v>-8.5344712627078891</v>
      </c>
      <c r="K293">
        <v>-8.5050865959979092</v>
      </c>
      <c r="L293">
        <v>-2.29853215613086</v>
      </c>
      <c r="M293">
        <v>56.725385632692003</v>
      </c>
      <c r="N293">
        <v>9.42520336375478E-4</v>
      </c>
      <c r="O293">
        <v>4.1887902047864198</v>
      </c>
      <c r="P293">
        <v>-4.2334076809535297</v>
      </c>
      <c r="Q293">
        <v>11.8810381339858</v>
      </c>
      <c r="R293">
        <v>12.561190464923101</v>
      </c>
      <c r="S293">
        <v>11.2199248569825</v>
      </c>
      <c r="T293">
        <v>12.5456578791008</v>
      </c>
      <c r="U293">
        <v>0.123231112389598</v>
      </c>
      <c r="V293">
        <v>1.7815660441875201</v>
      </c>
      <c r="W293">
        <v>2</v>
      </c>
      <c r="X293">
        <v>171.091132535756</v>
      </c>
      <c r="Y293">
        <v>1</v>
      </c>
    </row>
    <row r="294" spans="1:25" x14ac:dyDescent="0.25">
      <c r="A294">
        <v>150</v>
      </c>
      <c r="B294">
        <v>2</v>
      </c>
      <c r="C294" s="1">
        <v>1000000</v>
      </c>
      <c r="D294">
        <v>1</v>
      </c>
      <c r="E294">
        <v>0</v>
      </c>
      <c r="F294">
        <v>0.42499999999999999</v>
      </c>
      <c r="G294">
        <v>4.4249999999999998</v>
      </c>
      <c r="H294">
        <v>0.42499999999999999</v>
      </c>
      <c r="I294">
        <v>0</v>
      </c>
      <c r="J294">
        <v>-7.5627976459597104</v>
      </c>
      <c r="K294">
        <v>-7.5672134436801803</v>
      </c>
      <c r="L294">
        <v>-1.03870208566167</v>
      </c>
      <c r="M294">
        <v>57.487740340420402</v>
      </c>
      <c r="N294">
        <v>6.4878856022572803E-2</v>
      </c>
      <c r="O294">
        <v>4.1887902047864296</v>
      </c>
      <c r="P294">
        <v>-3.9228311368270501</v>
      </c>
      <c r="Q294">
        <v>11.5718166430834</v>
      </c>
      <c r="R294">
        <v>12.5612001479259</v>
      </c>
      <c r="S294">
        <v>10.6454482865808</v>
      </c>
      <c r="T294">
        <v>12.5456965688061</v>
      </c>
      <c r="U294">
        <v>0.13721711018364999</v>
      </c>
      <c r="V294">
        <v>1.72273255573051</v>
      </c>
      <c r="W294">
        <v>2</v>
      </c>
      <c r="X294">
        <v>-5.2900164684560901E-2</v>
      </c>
      <c r="Y294">
        <v>1</v>
      </c>
    </row>
    <row r="295" spans="1:25" x14ac:dyDescent="0.25">
      <c r="A295">
        <v>150</v>
      </c>
      <c r="B295">
        <v>2</v>
      </c>
      <c r="C295" s="1">
        <v>1000000</v>
      </c>
      <c r="D295">
        <v>1</v>
      </c>
      <c r="E295">
        <v>0</v>
      </c>
      <c r="F295">
        <v>0.45</v>
      </c>
      <c r="G295">
        <v>4.45</v>
      </c>
      <c r="H295">
        <v>0.45</v>
      </c>
      <c r="I295">
        <v>0</v>
      </c>
      <c r="J295">
        <v>-6.7788678043925303</v>
      </c>
      <c r="K295">
        <v>-6.7639789476447403</v>
      </c>
      <c r="L295">
        <v>8.2189840203011205E-2</v>
      </c>
      <c r="M295">
        <v>58.206210813907802</v>
      </c>
      <c r="N295">
        <v>0.136787904513782</v>
      </c>
      <c r="O295">
        <v>4.1887902006514004</v>
      </c>
      <c r="P295">
        <v>-3.6187637298303899</v>
      </c>
      <c r="Q295">
        <v>11.317140778396899</v>
      </c>
      <c r="R295">
        <v>12.561262518768199</v>
      </c>
      <c r="S295">
        <v>10.1804830332047</v>
      </c>
      <c r="T295">
        <v>12.5459458003105</v>
      </c>
      <c r="U295">
        <v>0.14241280750579699</v>
      </c>
      <c r="V295">
        <v>1.6760884843550501</v>
      </c>
      <c r="W295">
        <v>2</v>
      </c>
      <c r="X295">
        <v>-172.10072846579001</v>
      </c>
      <c r="Y295">
        <v>1</v>
      </c>
    </row>
    <row r="296" spans="1:25" x14ac:dyDescent="0.25">
      <c r="A296">
        <v>150</v>
      </c>
      <c r="B296">
        <v>2</v>
      </c>
      <c r="C296" s="1">
        <v>1000000</v>
      </c>
      <c r="D296">
        <v>1</v>
      </c>
      <c r="E296">
        <v>0</v>
      </c>
      <c r="F296">
        <v>0.47499999999999998</v>
      </c>
      <c r="G296">
        <v>4.4749999999999996</v>
      </c>
      <c r="H296">
        <v>0.47499999999999998</v>
      </c>
      <c r="I296">
        <v>0</v>
      </c>
      <c r="J296">
        <v>-6.1014352480941998</v>
      </c>
      <c r="K296">
        <v>-6.08084236143032</v>
      </c>
      <c r="L296">
        <v>1.0916603167321399</v>
      </c>
      <c r="M296">
        <v>58.854660438440597</v>
      </c>
      <c r="N296">
        <v>0.1240384098279</v>
      </c>
      <c r="O296">
        <v>4.1887902045894503</v>
      </c>
      <c r="P296">
        <v>-3.34566908414459</v>
      </c>
      <c r="Q296">
        <v>11.0833608067942</v>
      </c>
      <c r="R296">
        <v>12.561290925049899</v>
      </c>
      <c r="S296">
        <v>9.7634817298641803</v>
      </c>
      <c r="T296">
        <v>12.5460593063688</v>
      </c>
      <c r="U296">
        <v>0.158786943035366</v>
      </c>
      <c r="V296">
        <v>1.6307540666025999</v>
      </c>
      <c r="W296">
        <v>2</v>
      </c>
      <c r="X296">
        <v>-168.1551207297</v>
      </c>
      <c r="Y296">
        <v>1</v>
      </c>
    </row>
    <row r="297" spans="1:25" x14ac:dyDescent="0.25">
      <c r="A297">
        <v>150</v>
      </c>
      <c r="B297">
        <v>2</v>
      </c>
      <c r="C297" s="1">
        <v>1000000</v>
      </c>
      <c r="D297">
        <v>1</v>
      </c>
      <c r="E297">
        <v>0</v>
      </c>
      <c r="F297">
        <v>0.5</v>
      </c>
      <c r="G297">
        <v>4.5</v>
      </c>
      <c r="H297">
        <v>0.5</v>
      </c>
      <c r="I297">
        <v>0</v>
      </c>
      <c r="J297">
        <v>-5.5270145589238604</v>
      </c>
      <c r="K297">
        <v>-5.5172979888742404</v>
      </c>
      <c r="L297">
        <v>2.00376988329459</v>
      </c>
      <c r="M297">
        <v>59.4571595141743</v>
      </c>
      <c r="N297">
        <v>1.41449279958168E-2</v>
      </c>
      <c r="O297">
        <v>4.1887902047864598</v>
      </c>
      <c r="P297">
        <v>-3.10728946051979</v>
      </c>
      <c r="Q297">
        <v>10.878586215279901</v>
      </c>
      <c r="R297">
        <v>12.5613039862995</v>
      </c>
      <c r="S297">
        <v>9.4059188636056792</v>
      </c>
      <c r="T297">
        <v>12.546111493449599</v>
      </c>
      <c r="U297">
        <v>0.17636274518525599</v>
      </c>
      <c r="V297">
        <v>1.59104993627104</v>
      </c>
      <c r="W297">
        <v>2</v>
      </c>
      <c r="X297">
        <v>-165.436464155572</v>
      </c>
      <c r="Y297">
        <v>1</v>
      </c>
    </row>
    <row r="298" spans="1:25" x14ac:dyDescent="0.25">
      <c r="A298">
        <v>150</v>
      </c>
      <c r="B298">
        <v>2</v>
      </c>
      <c r="C298" s="1">
        <v>1000000</v>
      </c>
      <c r="D298">
        <v>1</v>
      </c>
      <c r="E298">
        <v>0</v>
      </c>
      <c r="F298">
        <v>0.52500000000000002</v>
      </c>
      <c r="G298">
        <v>4.5250000000000004</v>
      </c>
      <c r="H298">
        <v>0.52500000000000002</v>
      </c>
      <c r="I298">
        <v>0</v>
      </c>
      <c r="J298">
        <v>-5.0534962083723096</v>
      </c>
      <c r="K298">
        <v>-5.0351314027816301</v>
      </c>
      <c r="L298">
        <v>2.83398618523427</v>
      </c>
      <c r="M298">
        <v>60.0039757089205</v>
      </c>
      <c r="N298">
        <v>0.224469014019677</v>
      </c>
      <c r="O298">
        <v>4.1887902047864101</v>
      </c>
      <c r="P298">
        <v>-2.89610679823772</v>
      </c>
      <c r="Q298">
        <v>10.687772489673501</v>
      </c>
      <c r="R298">
        <v>12.561308077981099</v>
      </c>
      <c r="S298">
        <v>9.0786629211458703</v>
      </c>
      <c r="T298">
        <v>12.546127841741299</v>
      </c>
      <c r="U298">
        <v>0.19660246959630201</v>
      </c>
      <c r="V298">
        <v>1.55350725301534</v>
      </c>
      <c r="W298">
        <v>2</v>
      </c>
      <c r="X298">
        <v>-163.734058157672</v>
      </c>
      <c r="Y298">
        <v>1</v>
      </c>
    </row>
    <row r="299" spans="1:25" x14ac:dyDescent="0.25">
      <c r="A299">
        <v>150</v>
      </c>
      <c r="B299">
        <v>2</v>
      </c>
      <c r="C299" s="1">
        <v>1000000</v>
      </c>
      <c r="D299">
        <v>1</v>
      </c>
      <c r="E299">
        <v>0</v>
      </c>
      <c r="F299">
        <v>0.55000000000000004</v>
      </c>
      <c r="G299">
        <v>4.55</v>
      </c>
      <c r="H299">
        <v>0.55000000000000004</v>
      </c>
      <c r="I299">
        <v>0</v>
      </c>
      <c r="J299">
        <v>-4.6446986052777897</v>
      </c>
      <c r="K299">
        <v>-4.62657852686214</v>
      </c>
      <c r="L299">
        <v>3.5940262149434599</v>
      </c>
      <c r="M299">
        <v>60.510349837690697</v>
      </c>
      <c r="N299">
        <v>0.24039988319011399</v>
      </c>
      <c r="O299">
        <v>4.1887902002589499</v>
      </c>
      <c r="P299">
        <v>-2.71029014187569</v>
      </c>
      <c r="Q299">
        <v>10.5139863834005</v>
      </c>
      <c r="R299">
        <v>12.561250730484799</v>
      </c>
      <c r="S299">
        <v>8.7860176528232206</v>
      </c>
      <c r="T299">
        <v>12.545898711592301</v>
      </c>
      <c r="U299">
        <v>0.22982980774380601</v>
      </c>
      <c r="V299">
        <v>1.51643284842227</v>
      </c>
      <c r="W299">
        <v>2</v>
      </c>
      <c r="X299">
        <v>-162.54507335705901</v>
      </c>
      <c r="Y299">
        <v>1</v>
      </c>
    </row>
    <row r="300" spans="1:25" x14ac:dyDescent="0.25">
      <c r="A300">
        <v>150</v>
      </c>
      <c r="B300">
        <v>2</v>
      </c>
      <c r="C300" s="1">
        <v>1000000</v>
      </c>
      <c r="D300">
        <v>1</v>
      </c>
      <c r="E300">
        <v>0</v>
      </c>
      <c r="F300">
        <v>0.57499999999999996</v>
      </c>
      <c r="G300">
        <v>4.5750000000000002</v>
      </c>
      <c r="H300">
        <v>0.57499999999999996</v>
      </c>
      <c r="I300">
        <v>0</v>
      </c>
      <c r="J300">
        <v>-4.1982059609862796</v>
      </c>
      <c r="K300">
        <v>-4.2735092688747596</v>
      </c>
      <c r="L300">
        <v>4.2950000385211897</v>
      </c>
      <c r="M300">
        <v>60.977037922696802</v>
      </c>
      <c r="N300">
        <v>0.154866925332794</v>
      </c>
      <c r="O300">
        <v>4.1887902121349097</v>
      </c>
      <c r="P300">
        <v>-2.5454322057246501</v>
      </c>
      <c r="Q300">
        <v>10.3510684023005</v>
      </c>
      <c r="R300">
        <v>12.5612343391503</v>
      </c>
      <c r="S300">
        <v>8.5155347678838194</v>
      </c>
      <c r="T300">
        <v>12.5458332192502</v>
      </c>
      <c r="U300">
        <v>0.23225138400048601</v>
      </c>
      <c r="V300">
        <v>1.48249762311393</v>
      </c>
      <c r="W300">
        <v>2</v>
      </c>
      <c r="X300">
        <v>-161.766822324228</v>
      </c>
      <c r="Y300">
        <v>1</v>
      </c>
    </row>
    <row r="301" spans="1:25" x14ac:dyDescent="0.25">
      <c r="A301">
        <v>150</v>
      </c>
      <c r="B301">
        <v>2</v>
      </c>
      <c r="C301" s="1">
        <v>1000000</v>
      </c>
      <c r="D301">
        <v>1</v>
      </c>
      <c r="E301">
        <v>0</v>
      </c>
      <c r="F301">
        <v>0.6</v>
      </c>
      <c r="G301">
        <v>4.5999999999999996</v>
      </c>
      <c r="H301">
        <v>0.6</v>
      </c>
      <c r="I301">
        <v>0</v>
      </c>
      <c r="J301">
        <v>-3.8319658993970198</v>
      </c>
      <c r="K301">
        <v>-3.9704689077801198</v>
      </c>
      <c r="L301">
        <v>4.9445709422146802</v>
      </c>
      <c r="M301">
        <v>61.411508792761403</v>
      </c>
      <c r="N301">
        <v>1.0709282768884901E-3</v>
      </c>
      <c r="O301">
        <v>4.1887902047850201</v>
      </c>
      <c r="P301">
        <v>-2.4007811555443701</v>
      </c>
      <c r="Q301">
        <v>10.1990468543675</v>
      </c>
      <c r="R301">
        <v>12.561240490203801</v>
      </c>
      <c r="S301">
        <v>8.2671710542868109</v>
      </c>
      <c r="T301">
        <v>12.5458577932475</v>
      </c>
      <c r="U301">
        <v>0.24577705271907199</v>
      </c>
      <c r="V301">
        <v>1.4513675561530199</v>
      </c>
      <c r="W301">
        <v>2</v>
      </c>
      <c r="X301">
        <v>-161.321592421258</v>
      </c>
      <c r="Y301">
        <v>1</v>
      </c>
    </row>
    <row r="302" spans="1:25" x14ac:dyDescent="0.25">
      <c r="A302">
        <v>150</v>
      </c>
      <c r="B302">
        <v>2</v>
      </c>
      <c r="C302" s="1">
        <v>1000000</v>
      </c>
      <c r="D302">
        <v>1</v>
      </c>
      <c r="E302">
        <v>0</v>
      </c>
      <c r="F302">
        <v>0.625</v>
      </c>
      <c r="G302">
        <v>4.625</v>
      </c>
      <c r="H302">
        <v>0.625</v>
      </c>
      <c r="I302">
        <v>0</v>
      </c>
      <c r="J302">
        <v>-3.72221172096594</v>
      </c>
      <c r="K302">
        <v>-3.6975263081797198</v>
      </c>
      <c r="L302">
        <v>5.5489281776220603</v>
      </c>
      <c r="M302">
        <v>61.813823447704799</v>
      </c>
      <c r="N302">
        <v>1.00804477235761E-3</v>
      </c>
      <c r="O302">
        <v>4.1887902047864403</v>
      </c>
      <c r="P302">
        <v>-2.2660728593169801</v>
      </c>
      <c r="Q302">
        <v>10.0541007529983</v>
      </c>
      <c r="R302">
        <v>12.561245791046201</v>
      </c>
      <c r="S302">
        <v>8.0338072631313899</v>
      </c>
      <c r="T302">
        <v>12.545878971847101</v>
      </c>
      <c r="U302">
        <v>0.26322468957745498</v>
      </c>
      <c r="V302">
        <v>1.4207468648344901</v>
      </c>
      <c r="W302">
        <v>2</v>
      </c>
      <c r="X302">
        <v>-161.317428261365</v>
      </c>
      <c r="Y302">
        <v>1</v>
      </c>
    </row>
    <row r="303" spans="1:25" x14ac:dyDescent="0.25">
      <c r="A303">
        <v>150</v>
      </c>
      <c r="B303">
        <v>2</v>
      </c>
      <c r="C303" s="1">
        <v>1000000</v>
      </c>
      <c r="D303">
        <v>1</v>
      </c>
      <c r="E303">
        <v>0</v>
      </c>
      <c r="F303">
        <v>0.65</v>
      </c>
      <c r="G303">
        <v>4.6500000000000004</v>
      </c>
      <c r="H303">
        <v>0.65</v>
      </c>
      <c r="I303">
        <v>0</v>
      </c>
      <c r="J303">
        <v>-3.4813801451524902</v>
      </c>
      <c r="K303">
        <v>-3.45804329567363</v>
      </c>
      <c r="L303">
        <v>6.1133097164979304</v>
      </c>
      <c r="M303">
        <v>62.189226857465599</v>
      </c>
      <c r="N303">
        <v>1.0447707773105899E-2</v>
      </c>
      <c r="O303">
        <v>4.1887902047858603</v>
      </c>
      <c r="P303">
        <v>-2.1456223667517902</v>
      </c>
      <c r="Q303">
        <v>9.9165398204922504</v>
      </c>
      <c r="R303">
        <v>12.561251589917401</v>
      </c>
      <c r="S303">
        <v>7.8155677236474297</v>
      </c>
      <c r="T303">
        <v>12.5459021404218</v>
      </c>
      <c r="U303">
        <v>0.27187376029733101</v>
      </c>
      <c r="V303">
        <v>1.39161471501361</v>
      </c>
      <c r="W303">
        <v>2</v>
      </c>
      <c r="X303">
        <v>-161.402033151231</v>
      </c>
      <c r="Y303">
        <v>1</v>
      </c>
    </row>
    <row r="304" spans="1:25" x14ac:dyDescent="0.25">
      <c r="A304">
        <v>150</v>
      </c>
      <c r="B304">
        <v>2</v>
      </c>
      <c r="C304" s="1">
        <v>1000000</v>
      </c>
      <c r="D304">
        <v>1</v>
      </c>
      <c r="E304">
        <v>0</v>
      </c>
      <c r="F304">
        <v>0.67500000000000004</v>
      </c>
      <c r="G304">
        <v>4.6749999999999998</v>
      </c>
      <c r="H304">
        <v>0.67500000000000004</v>
      </c>
      <c r="I304">
        <v>0</v>
      </c>
      <c r="J304">
        <v>-3.27437313085189</v>
      </c>
      <c r="K304">
        <v>-3.2460299799122798</v>
      </c>
      <c r="L304">
        <v>6.6423492969352802</v>
      </c>
      <c r="M304">
        <v>62.543737348021402</v>
      </c>
      <c r="N304">
        <v>1.7058502981874199E-3</v>
      </c>
      <c r="O304">
        <v>4.1887902047843202</v>
      </c>
      <c r="P304">
        <v>-2.0358812395782602</v>
      </c>
      <c r="Q304">
        <v>9.7880647468851993</v>
      </c>
      <c r="R304">
        <v>12.561256756376601</v>
      </c>
      <c r="S304">
        <v>7.6140863237277401</v>
      </c>
      <c r="T304">
        <v>12.5459227827075</v>
      </c>
      <c r="U304">
        <v>0.28141057184454099</v>
      </c>
      <c r="V304">
        <v>1.3634734867131599</v>
      </c>
      <c r="W304">
        <v>2</v>
      </c>
      <c r="X304">
        <v>-161.54688242483999</v>
      </c>
      <c r="Y304">
        <v>1</v>
      </c>
    </row>
    <row r="305" spans="1:25" x14ac:dyDescent="0.25">
      <c r="A305">
        <v>150</v>
      </c>
      <c r="B305">
        <v>2</v>
      </c>
      <c r="C305" s="1">
        <v>1000000</v>
      </c>
      <c r="D305">
        <v>1</v>
      </c>
      <c r="E305">
        <v>0</v>
      </c>
      <c r="F305">
        <v>0.7</v>
      </c>
      <c r="G305">
        <v>4.7</v>
      </c>
      <c r="H305">
        <v>0.7</v>
      </c>
      <c r="I305">
        <v>0</v>
      </c>
      <c r="J305">
        <v>-3.0853569570434001</v>
      </c>
      <c r="K305">
        <v>-3.0546334452838799</v>
      </c>
      <c r="L305">
        <v>7.1391674090158199</v>
      </c>
      <c r="M305">
        <v>62.873635512693902</v>
      </c>
      <c r="N305">
        <v>6.5714172933447196E-3</v>
      </c>
      <c r="O305">
        <v>4.1887902047851799</v>
      </c>
      <c r="P305">
        <v>-1.9350947041619699</v>
      </c>
      <c r="Q305">
        <v>9.66361152272715</v>
      </c>
      <c r="R305">
        <v>12.561255991431601</v>
      </c>
      <c r="S305">
        <v>7.4213536887760396</v>
      </c>
      <c r="T305">
        <v>12.5459197239511</v>
      </c>
      <c r="U305">
        <v>0.25452844040779299</v>
      </c>
      <c r="V305">
        <v>1.33615321754689</v>
      </c>
      <c r="W305">
        <v>2</v>
      </c>
      <c r="X305">
        <v>-161.84901440684999</v>
      </c>
      <c r="Y305">
        <v>1</v>
      </c>
    </row>
    <row r="306" spans="1:25" x14ac:dyDescent="0.25">
      <c r="A306">
        <v>150</v>
      </c>
      <c r="B306">
        <v>2</v>
      </c>
      <c r="C306" s="1">
        <v>1000000</v>
      </c>
      <c r="D306">
        <v>1</v>
      </c>
      <c r="E306">
        <v>0</v>
      </c>
      <c r="F306">
        <v>0.72499999999999998</v>
      </c>
      <c r="G306">
        <v>4.7249999999999996</v>
      </c>
      <c r="H306">
        <v>0.72499999999999998</v>
      </c>
      <c r="I306">
        <v>0</v>
      </c>
      <c r="J306">
        <v>-3.0372435774920299</v>
      </c>
      <c r="K306">
        <v>-2.8791533788442201</v>
      </c>
      <c r="L306">
        <v>7.6077662994823196</v>
      </c>
      <c r="M306">
        <v>63.182563510446698</v>
      </c>
      <c r="N306">
        <v>2.3737052372346502E-3</v>
      </c>
      <c r="O306">
        <v>4.1887902047864198</v>
      </c>
      <c r="P306">
        <v>-1.84039571240313</v>
      </c>
      <c r="Q306">
        <v>9.5428322451804206</v>
      </c>
      <c r="R306">
        <v>12.561266261606599</v>
      </c>
      <c r="S306">
        <v>7.2369425742080997</v>
      </c>
      <c r="T306">
        <v>12.5459607599074</v>
      </c>
      <c r="U306">
        <v>0.28740131013738801</v>
      </c>
      <c r="V306">
        <v>1.30982902825204</v>
      </c>
      <c r="W306">
        <v>2</v>
      </c>
      <c r="X306">
        <v>-162.36681453869099</v>
      </c>
      <c r="Y306">
        <v>1</v>
      </c>
    </row>
    <row r="307" spans="1:25" x14ac:dyDescent="0.25">
      <c r="A307">
        <v>150</v>
      </c>
      <c r="B307">
        <v>2</v>
      </c>
      <c r="C307" s="1">
        <v>1000000</v>
      </c>
      <c r="D307">
        <v>1</v>
      </c>
      <c r="E307">
        <v>0</v>
      </c>
      <c r="F307">
        <v>0.75</v>
      </c>
      <c r="G307">
        <v>4.75</v>
      </c>
      <c r="H307">
        <v>0.75</v>
      </c>
      <c r="I307">
        <v>0</v>
      </c>
      <c r="J307">
        <v>-2.7477564215913399</v>
      </c>
      <c r="K307">
        <v>-2.7208630225915802</v>
      </c>
      <c r="L307">
        <v>8.0500920359948598</v>
      </c>
      <c r="M307">
        <v>63.4742442246812</v>
      </c>
      <c r="N307">
        <v>1.25207794192811E-4</v>
      </c>
      <c r="O307">
        <v>4.1887902047864198</v>
      </c>
      <c r="P307">
        <v>-1.7530703559984</v>
      </c>
      <c r="Q307">
        <v>9.4275463009565694</v>
      </c>
      <c r="R307">
        <v>12.5612698282082</v>
      </c>
      <c r="S307">
        <v>7.0629871605270997</v>
      </c>
      <c r="T307">
        <v>12.545975009853599</v>
      </c>
      <c r="U307">
        <v>0.28314751786634701</v>
      </c>
      <c r="V307">
        <v>1.28458491526581</v>
      </c>
      <c r="W307">
        <v>2</v>
      </c>
      <c r="X307">
        <v>-162.862315263357</v>
      </c>
      <c r="Y307">
        <v>1</v>
      </c>
    </row>
    <row r="308" spans="1:25" x14ac:dyDescent="0.25">
      <c r="A308">
        <v>150</v>
      </c>
      <c r="B308">
        <v>2</v>
      </c>
      <c r="C308" s="1">
        <v>1000000</v>
      </c>
      <c r="D308">
        <v>1</v>
      </c>
      <c r="E308">
        <v>0</v>
      </c>
      <c r="F308">
        <v>0.77500000000000002</v>
      </c>
      <c r="G308">
        <v>4.7750000000000004</v>
      </c>
      <c r="H308">
        <v>0.77500000000000002</v>
      </c>
      <c r="I308">
        <v>0</v>
      </c>
      <c r="J308">
        <v>-2.4337625757719601</v>
      </c>
      <c r="K308">
        <v>-2.5717976646395102</v>
      </c>
      <c r="L308">
        <v>8.4685360933693996</v>
      </c>
      <c r="M308">
        <v>63.736782604839902</v>
      </c>
      <c r="N308">
        <v>6.4227347377609795E-2</v>
      </c>
      <c r="O308">
        <v>4.1887902049674404</v>
      </c>
      <c r="P308">
        <v>-1.6715868652786201</v>
      </c>
      <c r="Q308">
        <v>9.3071612812447402</v>
      </c>
      <c r="R308">
        <v>12.561268266297599</v>
      </c>
      <c r="S308">
        <v>6.8829810151455204</v>
      </c>
      <c r="T308">
        <v>12.5459687678501</v>
      </c>
      <c r="U308">
        <v>0.26700949811878999</v>
      </c>
      <c r="V308">
        <v>1.2600771763409999</v>
      </c>
      <c r="W308">
        <v>2</v>
      </c>
      <c r="X308">
        <v>-158.38521666106601</v>
      </c>
      <c r="Y308">
        <v>1</v>
      </c>
    </row>
    <row r="309" spans="1:25" x14ac:dyDescent="0.25">
      <c r="A309">
        <v>150</v>
      </c>
      <c r="B309">
        <v>2</v>
      </c>
      <c r="C309" s="1">
        <v>1000000</v>
      </c>
      <c r="D309">
        <v>1</v>
      </c>
      <c r="E309">
        <v>0</v>
      </c>
      <c r="F309">
        <v>0.8</v>
      </c>
      <c r="G309">
        <v>4.8</v>
      </c>
      <c r="H309">
        <v>0.8</v>
      </c>
      <c r="I309">
        <v>0</v>
      </c>
      <c r="J309">
        <v>-2.4612460321972498</v>
      </c>
      <c r="K309">
        <v>-2.4420016534654101</v>
      </c>
      <c r="L309">
        <v>8.8651063493186406</v>
      </c>
      <c r="M309">
        <v>64.003908850366201</v>
      </c>
      <c r="N309">
        <v>0.11382287267437501</v>
      </c>
      <c r="O309">
        <v>4.1887902062500597</v>
      </c>
      <c r="P309">
        <v>-1.5951500500205</v>
      </c>
      <c r="Q309">
        <v>9.2051453990178302</v>
      </c>
      <c r="R309">
        <v>12.561268085344301</v>
      </c>
      <c r="S309">
        <v>6.73352090577007</v>
      </c>
      <c r="T309">
        <v>12.545968044147701</v>
      </c>
      <c r="U309">
        <v>0.235314140361263</v>
      </c>
      <c r="V309">
        <v>1.23559219393571</v>
      </c>
      <c r="W309">
        <v>2</v>
      </c>
      <c r="X309">
        <v>-153.948041809047</v>
      </c>
      <c r="Y309">
        <v>1</v>
      </c>
    </row>
    <row r="310" spans="1:25" x14ac:dyDescent="0.25">
      <c r="A310">
        <v>150</v>
      </c>
      <c r="B310">
        <v>2</v>
      </c>
      <c r="C310" s="1">
        <v>1000000</v>
      </c>
      <c r="D310">
        <v>1</v>
      </c>
      <c r="E310">
        <v>0</v>
      </c>
      <c r="F310">
        <v>0.82499999999999996</v>
      </c>
      <c r="G310">
        <v>4.8250000000000002</v>
      </c>
      <c r="H310">
        <v>0.82499999999999996</v>
      </c>
      <c r="I310">
        <v>0</v>
      </c>
      <c r="J310">
        <v>-2.3539372559573901</v>
      </c>
      <c r="K310">
        <v>-2.3174692235614698</v>
      </c>
      <c r="L310">
        <v>9.2418535433494693</v>
      </c>
      <c r="M310">
        <v>64.243243862123705</v>
      </c>
      <c r="N310">
        <v>0.133860335696175</v>
      </c>
      <c r="O310">
        <v>4.1887902059535298</v>
      </c>
      <c r="P310">
        <v>-1.5229090859330601</v>
      </c>
      <c r="Q310">
        <v>9.0963480637071505</v>
      </c>
      <c r="R310">
        <v>12.561267895013</v>
      </c>
      <c r="S310">
        <v>6.5748603353653499</v>
      </c>
      <c r="T310">
        <v>12.545967283133299</v>
      </c>
      <c r="U310">
        <v>0.20796851163216401</v>
      </c>
      <c r="V310">
        <v>1.21197608300599</v>
      </c>
      <c r="W310">
        <v>2</v>
      </c>
      <c r="X310">
        <v>-159.57298048810901</v>
      </c>
      <c r="Y310">
        <v>1</v>
      </c>
    </row>
    <row r="311" spans="1:25" x14ac:dyDescent="0.25">
      <c r="A311">
        <v>150</v>
      </c>
      <c r="B311">
        <v>2</v>
      </c>
      <c r="C311" s="1">
        <v>1000000</v>
      </c>
      <c r="D311">
        <v>1</v>
      </c>
      <c r="E311">
        <v>0</v>
      </c>
      <c r="F311">
        <v>0.85</v>
      </c>
      <c r="G311">
        <v>4.8499999999999996</v>
      </c>
      <c r="H311">
        <v>0.85</v>
      </c>
      <c r="I311">
        <v>0</v>
      </c>
      <c r="J311">
        <v>-2.2171733968797702</v>
      </c>
      <c r="K311">
        <v>-2.2172678281657099</v>
      </c>
      <c r="L311">
        <v>9.6008102246743903</v>
      </c>
      <c r="M311">
        <v>64.502702476412594</v>
      </c>
      <c r="N311">
        <v>5.0074090104592305E-4</v>
      </c>
      <c r="O311">
        <v>4.1887902047864198</v>
      </c>
      <c r="P311">
        <v>-1.4587311981200899</v>
      </c>
      <c r="Q311">
        <v>9.0163326356824705</v>
      </c>
      <c r="R311">
        <v>12.5612748147839</v>
      </c>
      <c r="S311">
        <v>6.4599552914997096</v>
      </c>
      <c r="T311">
        <v>12.5459949323209</v>
      </c>
      <c r="U311">
        <v>0.235859265451168</v>
      </c>
      <c r="V311">
        <v>1.1893711637867601</v>
      </c>
      <c r="W311">
        <v>2</v>
      </c>
      <c r="X311">
        <v>-160.117117101145</v>
      </c>
      <c r="Y311">
        <v>1</v>
      </c>
    </row>
    <row r="312" spans="1:25" x14ac:dyDescent="0.25">
      <c r="A312">
        <v>150</v>
      </c>
      <c r="B312">
        <v>2</v>
      </c>
      <c r="C312" s="1">
        <v>1000000</v>
      </c>
      <c r="D312">
        <v>1</v>
      </c>
      <c r="E312">
        <v>0</v>
      </c>
      <c r="F312">
        <v>0.875</v>
      </c>
      <c r="G312">
        <v>4.875</v>
      </c>
      <c r="H312">
        <v>0.875</v>
      </c>
      <c r="I312">
        <v>0</v>
      </c>
      <c r="J312">
        <v>-2.1270981456179201</v>
      </c>
      <c r="K312">
        <v>-2.10601989932875</v>
      </c>
      <c r="L312">
        <v>9.9418606770525706</v>
      </c>
      <c r="M312">
        <v>64.707737028888602</v>
      </c>
      <c r="N312">
        <v>2.9129557383259001E-2</v>
      </c>
      <c r="O312">
        <v>4.1887902047861703</v>
      </c>
      <c r="P312">
        <v>-1.392922620285</v>
      </c>
      <c r="Q312">
        <v>8.9061132371364096</v>
      </c>
      <c r="R312">
        <v>12.5612750468431</v>
      </c>
      <c r="S312">
        <v>6.3029033642412298</v>
      </c>
      <c r="T312">
        <v>12.5459958592939</v>
      </c>
      <c r="U312">
        <v>0.193159326369886</v>
      </c>
      <c r="V312">
        <v>1.1667876062590199</v>
      </c>
      <c r="W312">
        <v>2</v>
      </c>
      <c r="X312">
        <v>-165.88166687289799</v>
      </c>
      <c r="Y312">
        <v>1</v>
      </c>
    </row>
    <row r="313" spans="1:25" x14ac:dyDescent="0.25">
      <c r="A313">
        <v>150</v>
      </c>
      <c r="B313">
        <v>2</v>
      </c>
      <c r="C313" s="1">
        <v>1000000</v>
      </c>
      <c r="D313">
        <v>1</v>
      </c>
      <c r="E313">
        <v>0</v>
      </c>
      <c r="F313">
        <v>0.9</v>
      </c>
      <c r="G313">
        <v>4.9000000000000004</v>
      </c>
      <c r="H313">
        <v>0.9</v>
      </c>
      <c r="I313">
        <v>0</v>
      </c>
      <c r="J313">
        <v>-2.0472876690986501</v>
      </c>
      <c r="K313">
        <v>-2.0089538005595999</v>
      </c>
      <c r="L313">
        <v>10.267816596223801</v>
      </c>
      <c r="M313">
        <v>64.915315140267097</v>
      </c>
      <c r="N313">
        <v>8.5318244911584094E-3</v>
      </c>
      <c r="O313">
        <v>4.1887902047864101</v>
      </c>
      <c r="P313">
        <v>-1.3325707490280601</v>
      </c>
      <c r="Q313">
        <v>8.8115611462220595</v>
      </c>
      <c r="R313">
        <v>12.5612902096423</v>
      </c>
      <c r="S313">
        <v>6.1661629863635898</v>
      </c>
      <c r="T313">
        <v>12.5460564447817</v>
      </c>
      <c r="U313">
        <v>0.23897678722985899</v>
      </c>
      <c r="V313">
        <v>1.1451410808976299</v>
      </c>
      <c r="W313">
        <v>2</v>
      </c>
      <c r="X313">
        <v>-161.46562932615601</v>
      </c>
      <c r="Y313">
        <v>1</v>
      </c>
    </row>
    <row r="314" spans="1:25" x14ac:dyDescent="0.25">
      <c r="A314">
        <v>150</v>
      </c>
      <c r="B314">
        <v>2</v>
      </c>
      <c r="C314" s="1">
        <v>1000000</v>
      </c>
      <c r="D314">
        <v>1</v>
      </c>
      <c r="E314">
        <v>0</v>
      </c>
      <c r="F314">
        <v>0.92500000000000004</v>
      </c>
      <c r="G314">
        <v>4.9249999999999998</v>
      </c>
      <c r="H314">
        <v>0.92500000000000004</v>
      </c>
      <c r="I314">
        <v>0</v>
      </c>
      <c r="J314">
        <v>-1.94198372157634</v>
      </c>
      <c r="K314">
        <v>-1.9157082874589799</v>
      </c>
      <c r="L314">
        <v>10.5786494270875</v>
      </c>
      <c r="M314">
        <v>65.112217439293204</v>
      </c>
      <c r="N314">
        <v>5.5728685332655202E-3</v>
      </c>
      <c r="O314">
        <v>4.1887902047865699</v>
      </c>
      <c r="P314">
        <v>-1.2724080892865599</v>
      </c>
      <c r="Q314">
        <v>8.7165657307440192</v>
      </c>
      <c r="R314">
        <v>12.561295513288</v>
      </c>
      <c r="S314">
        <v>6.0345948472692799</v>
      </c>
      <c r="T314">
        <v>12.5460776360166</v>
      </c>
      <c r="U314">
        <v>0.21141178923470499</v>
      </c>
      <c r="V314">
        <v>1.1233478659166301</v>
      </c>
      <c r="W314">
        <v>2</v>
      </c>
      <c r="X314">
        <v>-162.221917093776</v>
      </c>
      <c r="Y314">
        <v>1</v>
      </c>
    </row>
    <row r="315" spans="1:25" x14ac:dyDescent="0.25">
      <c r="A315">
        <v>150</v>
      </c>
      <c r="B315">
        <v>2</v>
      </c>
      <c r="C315" s="1">
        <v>1000000</v>
      </c>
      <c r="D315">
        <v>1</v>
      </c>
      <c r="E315">
        <v>0</v>
      </c>
      <c r="F315">
        <v>0.95</v>
      </c>
      <c r="G315">
        <v>4.95</v>
      </c>
      <c r="H315">
        <v>0.95</v>
      </c>
      <c r="I315">
        <v>0</v>
      </c>
      <c r="J315">
        <v>-1.84987423899453</v>
      </c>
      <c r="K315">
        <v>-1.8301895521193099</v>
      </c>
      <c r="L315">
        <v>10.8758306758226</v>
      </c>
      <c r="M315">
        <v>65.299385623286398</v>
      </c>
      <c r="N315">
        <v>9.6084967882344899E-2</v>
      </c>
      <c r="O315">
        <v>4.1887902047860104</v>
      </c>
      <c r="P315">
        <v>-1.21666680849314</v>
      </c>
      <c r="Q315">
        <v>8.6237878832365595</v>
      </c>
      <c r="R315">
        <v>12.5613000414347</v>
      </c>
      <c r="S315">
        <v>5.9075550606276401</v>
      </c>
      <c r="T315">
        <v>12.546095728623699</v>
      </c>
      <c r="U315">
        <v>0.25069545242806301</v>
      </c>
      <c r="V315">
        <v>1.10185915243819</v>
      </c>
      <c r="W315">
        <v>2</v>
      </c>
      <c r="X315">
        <v>-162.92999116459501</v>
      </c>
      <c r="Y315">
        <v>1</v>
      </c>
    </row>
    <row r="316" spans="1:25" x14ac:dyDescent="0.25">
      <c r="A316">
        <v>150</v>
      </c>
      <c r="B316">
        <v>2</v>
      </c>
      <c r="C316" s="1">
        <v>1000000</v>
      </c>
      <c r="D316">
        <v>1</v>
      </c>
      <c r="E316">
        <v>0</v>
      </c>
      <c r="F316">
        <v>0.97499999999999998</v>
      </c>
      <c r="G316">
        <v>4.9749999999999996</v>
      </c>
      <c r="H316">
        <v>0.97499999999999998</v>
      </c>
      <c r="I316">
        <v>0</v>
      </c>
      <c r="J316">
        <v>-1.7707636667156299</v>
      </c>
      <c r="K316">
        <v>-1.75425368028277</v>
      </c>
      <c r="L316">
        <v>11.159809137057501</v>
      </c>
      <c r="M316">
        <v>65.488958881106797</v>
      </c>
      <c r="N316">
        <v>3.3975555789198503E-2</v>
      </c>
      <c r="O316">
        <v>4.1887902051300099</v>
      </c>
      <c r="P316">
        <v>-1.1641486555579601</v>
      </c>
      <c r="Q316">
        <v>8.5438115158940704</v>
      </c>
      <c r="R316">
        <v>12.5612985936949</v>
      </c>
      <c r="S316">
        <v>5.7985680427006798</v>
      </c>
      <c r="T316">
        <v>12.546089944289999</v>
      </c>
      <c r="U316">
        <v>0.212842760962664</v>
      </c>
      <c r="V316">
        <v>1.0811127791003801</v>
      </c>
      <c r="W316">
        <v>2</v>
      </c>
      <c r="X316">
        <v>-163.49161412302601</v>
      </c>
      <c r="Y316">
        <v>1</v>
      </c>
    </row>
    <row r="317" spans="1:25" x14ac:dyDescent="0.25">
      <c r="A317">
        <v>150</v>
      </c>
      <c r="B317">
        <v>2</v>
      </c>
      <c r="C317" s="1">
        <v>1000000</v>
      </c>
      <c r="D317">
        <v>1</v>
      </c>
      <c r="E317">
        <v>0</v>
      </c>
      <c r="F317">
        <v>1</v>
      </c>
      <c r="G317">
        <v>5</v>
      </c>
      <c r="H317">
        <v>1</v>
      </c>
      <c r="I317">
        <v>0</v>
      </c>
      <c r="J317">
        <v>-1.69392119618315</v>
      </c>
      <c r="K317">
        <v>-1.67771860340198</v>
      </c>
      <c r="L317">
        <v>11.427964308552299</v>
      </c>
      <c r="M317">
        <v>65.652298782210806</v>
      </c>
      <c r="N317">
        <v>3.9991262351612E-3</v>
      </c>
      <c r="O317">
        <v>4.1887902047877903</v>
      </c>
      <c r="P317">
        <v>-1.11212651221936</v>
      </c>
      <c r="Q317">
        <v>8.4545283378302702</v>
      </c>
      <c r="R317">
        <v>12.5612906459709</v>
      </c>
      <c r="S317">
        <v>5.6775489480612498</v>
      </c>
      <c r="T317">
        <v>12.546058189168299</v>
      </c>
      <c r="U317">
        <v>3.7934849075367899E-2</v>
      </c>
      <c r="V317">
        <v>1.0609251476994099</v>
      </c>
      <c r="W317">
        <v>2</v>
      </c>
      <c r="X317">
        <v>-153.60348943420999</v>
      </c>
      <c r="Y317">
        <v>1</v>
      </c>
    </row>
    <row r="318" spans="1:25" x14ac:dyDescent="0.25">
      <c r="A318">
        <v>150</v>
      </c>
      <c r="B318">
        <v>2</v>
      </c>
      <c r="C318" s="1">
        <v>1000000</v>
      </c>
      <c r="D318">
        <v>1</v>
      </c>
      <c r="E318">
        <v>0</v>
      </c>
      <c r="F318">
        <v>1.0249999999999999</v>
      </c>
      <c r="G318">
        <v>5.0250000000000004</v>
      </c>
      <c r="H318">
        <v>1.0249999999999999</v>
      </c>
      <c r="I318">
        <v>0</v>
      </c>
      <c r="J318">
        <v>-1.6823163738860101</v>
      </c>
      <c r="K318">
        <v>-1.6099785059362199</v>
      </c>
      <c r="L318">
        <v>11.684746835218</v>
      </c>
      <c r="M318">
        <v>65.822137846837805</v>
      </c>
      <c r="N318">
        <v>6.2432822320208498E-2</v>
      </c>
      <c r="O318">
        <v>4.1887902047827001</v>
      </c>
      <c r="P318">
        <v>-1.06260026008362</v>
      </c>
      <c r="Q318">
        <v>8.3796875401728208</v>
      </c>
      <c r="R318">
        <v>12.5613194216173</v>
      </c>
      <c r="S318">
        <v>5.5768380132154904</v>
      </c>
      <c r="T318">
        <v>12.546173162608699</v>
      </c>
      <c r="U318">
        <v>-0.14803287529613901</v>
      </c>
      <c r="V318">
        <v>1.0397388266743099</v>
      </c>
      <c r="W318">
        <v>2</v>
      </c>
      <c r="X318">
        <v>-164.28122401917301</v>
      </c>
      <c r="Y318">
        <v>1</v>
      </c>
    </row>
    <row r="319" spans="1:25" x14ac:dyDescent="0.25">
      <c r="A319">
        <v>150</v>
      </c>
      <c r="B319">
        <v>2</v>
      </c>
      <c r="C319" s="1">
        <v>1000000</v>
      </c>
      <c r="D319">
        <v>1</v>
      </c>
      <c r="E319">
        <v>0</v>
      </c>
      <c r="F319">
        <v>1.05</v>
      </c>
      <c r="G319">
        <v>5.05</v>
      </c>
      <c r="H319">
        <v>1.05</v>
      </c>
      <c r="I319">
        <v>0</v>
      </c>
      <c r="J319">
        <v>-1.6225912859245699</v>
      </c>
      <c r="K319">
        <v>-1.54564660009052</v>
      </c>
      <c r="L319">
        <v>11.934219588801501</v>
      </c>
      <c r="M319">
        <v>65.984997001551804</v>
      </c>
      <c r="N319">
        <v>0.14085481760103799</v>
      </c>
      <c r="O319">
        <v>4.1887902041889404</v>
      </c>
      <c r="P319">
        <v>-1.01514019190953</v>
      </c>
      <c r="Q319">
        <v>8.3036725832911795</v>
      </c>
      <c r="R319">
        <v>12.561318976109</v>
      </c>
      <c r="S319">
        <v>5.4768274967786104</v>
      </c>
      <c r="T319">
        <v>12.546171382749</v>
      </c>
      <c r="U319">
        <v>-0.14423273194556899</v>
      </c>
      <c r="V319">
        <v>1.01983241488354</v>
      </c>
      <c r="W319">
        <v>2</v>
      </c>
      <c r="X319">
        <v>-159.81956836797099</v>
      </c>
      <c r="Y319">
        <v>1</v>
      </c>
    </row>
    <row r="320" spans="1:25" x14ac:dyDescent="0.25">
      <c r="A320">
        <v>150</v>
      </c>
      <c r="B320">
        <v>2</v>
      </c>
      <c r="C320" s="1">
        <v>1000000</v>
      </c>
      <c r="D320">
        <v>1</v>
      </c>
      <c r="E320">
        <v>0</v>
      </c>
      <c r="F320">
        <v>1.075</v>
      </c>
      <c r="G320">
        <v>5.0750000000000002</v>
      </c>
      <c r="H320">
        <v>1.075</v>
      </c>
      <c r="I320">
        <v>0</v>
      </c>
      <c r="J320">
        <v>-1.4927941025125899</v>
      </c>
      <c r="K320">
        <v>-1.4829739119782701</v>
      </c>
      <c r="L320">
        <v>12.173479354219999</v>
      </c>
      <c r="M320">
        <v>66.132730750738602</v>
      </c>
      <c r="N320">
        <v>2.31653170445527E-2</v>
      </c>
      <c r="O320">
        <v>4.1887902047864003</v>
      </c>
      <c r="P320">
        <v>-0.96928611560103894</v>
      </c>
      <c r="Q320">
        <v>8.2232503607781595</v>
      </c>
      <c r="R320">
        <v>12.561318707174401</v>
      </c>
      <c r="S320">
        <v>5.3711433915002003</v>
      </c>
      <c r="T320">
        <v>12.5461703083384</v>
      </c>
      <c r="U320">
        <v>-0.14435458989014399</v>
      </c>
      <c r="V320">
        <v>1.0000739730283099</v>
      </c>
      <c r="W320">
        <v>2</v>
      </c>
      <c r="X320">
        <v>-149.966953151654</v>
      </c>
      <c r="Y320">
        <v>1</v>
      </c>
    </row>
    <row r="321" spans="1:25" x14ac:dyDescent="0.25">
      <c r="A321">
        <v>150</v>
      </c>
      <c r="B321">
        <v>2</v>
      </c>
      <c r="C321" s="1">
        <v>1000000</v>
      </c>
      <c r="D321">
        <v>1</v>
      </c>
      <c r="E321">
        <v>0</v>
      </c>
      <c r="F321">
        <v>1.1000000000000001</v>
      </c>
      <c r="G321">
        <v>5.0999999999999996</v>
      </c>
      <c r="H321">
        <v>1.1000000000000001</v>
      </c>
      <c r="I321">
        <v>0</v>
      </c>
      <c r="J321">
        <v>-1.1370409536622601</v>
      </c>
      <c r="K321">
        <v>-1.42285080637228</v>
      </c>
      <c r="L321">
        <v>12.403085158699101</v>
      </c>
      <c r="M321">
        <v>66.269795920624006</v>
      </c>
      <c r="N321">
        <v>6.10637803675812E-2</v>
      </c>
      <c r="O321">
        <v>4.18879022949183</v>
      </c>
      <c r="P321">
        <v>-0.92502205305898</v>
      </c>
      <c r="Q321">
        <v>8.1409063596960003</v>
      </c>
      <c r="R321">
        <v>12.561318510550301</v>
      </c>
      <c r="S321">
        <v>5.2642875755832597</v>
      </c>
      <c r="T321">
        <v>12.546169522852299</v>
      </c>
      <c r="U321">
        <v>-0.14210055362353</v>
      </c>
      <c r="V321">
        <v>0.98099862575577301</v>
      </c>
      <c r="W321">
        <v>2</v>
      </c>
      <c r="X321">
        <v>-161.288342465662</v>
      </c>
      <c r="Y321">
        <v>1</v>
      </c>
    </row>
    <row r="322" spans="1:25" x14ac:dyDescent="0.25">
      <c r="A322">
        <v>150</v>
      </c>
      <c r="B322">
        <v>2</v>
      </c>
      <c r="C322" s="1">
        <v>1000000</v>
      </c>
      <c r="D322">
        <v>1</v>
      </c>
      <c r="E322">
        <v>0</v>
      </c>
      <c r="F322">
        <v>1.125</v>
      </c>
      <c r="G322">
        <v>5.125</v>
      </c>
      <c r="H322">
        <v>1.125</v>
      </c>
      <c r="I322">
        <v>0</v>
      </c>
      <c r="J322">
        <v>-1.3765429751364799</v>
      </c>
      <c r="K322">
        <v>-1.36616984635617</v>
      </c>
      <c r="L322">
        <v>12.6237717125477</v>
      </c>
      <c r="M322">
        <v>66.403325198871698</v>
      </c>
      <c r="N322">
        <v>0.16953562278454701</v>
      </c>
      <c r="O322">
        <v>4.1887902070604701</v>
      </c>
      <c r="P322">
        <v>-0.88165026871781504</v>
      </c>
      <c r="Q322">
        <v>8.0623881460604707</v>
      </c>
      <c r="R322">
        <v>12.561318799607401</v>
      </c>
      <c r="S322">
        <v>5.1638437532919399</v>
      </c>
      <c r="T322">
        <v>12.546170677728901</v>
      </c>
      <c r="U322">
        <v>-0.14480439472030401</v>
      </c>
      <c r="V322">
        <v>0.96177020301862104</v>
      </c>
      <c r="W322">
        <v>2</v>
      </c>
      <c r="X322">
        <v>-167.41180614241799</v>
      </c>
      <c r="Y322">
        <v>1</v>
      </c>
    </row>
    <row r="323" spans="1:25" x14ac:dyDescent="0.25">
      <c r="A323">
        <v>150</v>
      </c>
      <c r="B323">
        <v>2</v>
      </c>
      <c r="C323" s="1">
        <v>1000000</v>
      </c>
      <c r="D323">
        <v>1</v>
      </c>
      <c r="E323">
        <v>0</v>
      </c>
      <c r="F323">
        <v>1.1499999999999999</v>
      </c>
      <c r="G323">
        <v>5.15</v>
      </c>
      <c r="H323">
        <v>1.1499999999999999</v>
      </c>
      <c r="I323">
        <v>0</v>
      </c>
      <c r="J323">
        <v>-1.3216852691046499</v>
      </c>
      <c r="K323">
        <v>-1.31331926962446</v>
      </c>
      <c r="L323">
        <v>12.8315435996935</v>
      </c>
      <c r="M323">
        <v>66.536429157194604</v>
      </c>
      <c r="N323">
        <v>0.329920108418085</v>
      </c>
      <c r="O323">
        <v>4.1887902103438703</v>
      </c>
      <c r="P323">
        <v>-0.83813105345202998</v>
      </c>
      <c r="Q323">
        <v>7.9922327733574701</v>
      </c>
      <c r="R323">
        <v>12.5613218430014</v>
      </c>
      <c r="S323">
        <v>5.07762113613785</v>
      </c>
      <c r="T323">
        <v>12.5461828365389</v>
      </c>
      <c r="U323">
        <v>-0.42923901630519401</v>
      </c>
      <c r="V323">
        <v>0.94369097091731702</v>
      </c>
      <c r="W323">
        <v>2</v>
      </c>
      <c r="X323">
        <v>-167.901198098533</v>
      </c>
      <c r="Y323">
        <v>1</v>
      </c>
    </row>
    <row r="324" spans="1:25" x14ac:dyDescent="0.25">
      <c r="A324">
        <v>150</v>
      </c>
      <c r="B324">
        <v>2</v>
      </c>
      <c r="C324" s="1">
        <v>1000000</v>
      </c>
      <c r="D324">
        <v>1</v>
      </c>
      <c r="E324">
        <v>0</v>
      </c>
      <c r="F324">
        <v>1.175</v>
      </c>
      <c r="G324">
        <v>5.1749999999999998</v>
      </c>
      <c r="H324">
        <v>1.175</v>
      </c>
      <c r="I324">
        <v>0</v>
      </c>
      <c r="J324">
        <v>-1.26876732244776</v>
      </c>
      <c r="K324">
        <v>-1.26326501465833</v>
      </c>
      <c r="L324">
        <v>13.033487051917801</v>
      </c>
      <c r="M324">
        <v>66.663532127412907</v>
      </c>
      <c r="N324">
        <v>0.438042169321119</v>
      </c>
      <c r="O324">
        <v>4.1887902330649398</v>
      </c>
      <c r="P324">
        <v>-0.79646555198157998</v>
      </c>
      <c r="Q324">
        <v>7.9239847203260698</v>
      </c>
      <c r="R324">
        <v>12.5613215827641</v>
      </c>
      <c r="S324">
        <v>4.9912212890082603</v>
      </c>
      <c r="T324">
        <v>12.5461817969045</v>
      </c>
      <c r="U324">
        <v>-0.33734916678239701</v>
      </c>
      <c r="V324">
        <v>0.92585519047977904</v>
      </c>
      <c r="W324">
        <v>2</v>
      </c>
      <c r="X324">
        <v>-157.87991764505699</v>
      </c>
      <c r="Y324">
        <v>1</v>
      </c>
    </row>
    <row r="325" spans="1:25" x14ac:dyDescent="0.25">
      <c r="A325">
        <v>150</v>
      </c>
      <c r="B325">
        <v>2</v>
      </c>
      <c r="C325" s="1">
        <v>1000000</v>
      </c>
      <c r="D325">
        <v>1</v>
      </c>
      <c r="E325">
        <v>0</v>
      </c>
      <c r="F325">
        <v>1.2</v>
      </c>
      <c r="G325">
        <v>5.2</v>
      </c>
      <c r="H325">
        <v>1.2</v>
      </c>
      <c r="I325">
        <v>0</v>
      </c>
      <c r="J325">
        <v>-1.2188453746168799</v>
      </c>
      <c r="K325">
        <v>-1.2111313848231999</v>
      </c>
      <c r="L325">
        <v>13.2291389536196</v>
      </c>
      <c r="M325">
        <v>66.766563843518895</v>
      </c>
      <c r="N325">
        <v>0.39875825838607198</v>
      </c>
      <c r="O325">
        <v>4.1887901977839697</v>
      </c>
      <c r="P325">
        <v>-0.75558244556710596</v>
      </c>
      <c r="Q325">
        <v>7.8385106298232898</v>
      </c>
      <c r="R325">
        <v>12.561321938313201</v>
      </c>
      <c r="S325">
        <v>4.8843215309265204</v>
      </c>
      <c r="T325">
        <v>12.5461832173517</v>
      </c>
      <c r="U325">
        <v>-0.40055334644849999</v>
      </c>
      <c r="V325">
        <v>0.90743324247204504</v>
      </c>
      <c r="W325">
        <v>2</v>
      </c>
      <c r="X325">
        <v>-158.66556846906099</v>
      </c>
      <c r="Y325">
        <v>1</v>
      </c>
    </row>
    <row r="326" spans="1:25" x14ac:dyDescent="0.25">
      <c r="A326">
        <v>150</v>
      </c>
      <c r="B326">
        <v>2</v>
      </c>
      <c r="C326" s="1">
        <v>1000000</v>
      </c>
      <c r="D326">
        <v>1</v>
      </c>
      <c r="E326">
        <v>0</v>
      </c>
      <c r="F326">
        <v>1.2250000000000001</v>
      </c>
      <c r="G326">
        <v>5.2249999999999996</v>
      </c>
      <c r="H326">
        <v>1.2250000000000001</v>
      </c>
      <c r="I326">
        <v>0</v>
      </c>
      <c r="J326">
        <v>-1.1720616549284799</v>
      </c>
      <c r="K326">
        <v>-1.16546205409977</v>
      </c>
      <c r="L326">
        <v>13.416781730467999</v>
      </c>
      <c r="M326">
        <v>66.880283809024306</v>
      </c>
      <c r="N326">
        <v>0.52364305256418198</v>
      </c>
      <c r="O326">
        <v>4.1887901973904</v>
      </c>
      <c r="P326">
        <v>-0.71641792497550305</v>
      </c>
      <c r="Q326">
        <v>7.7694225032409303</v>
      </c>
      <c r="R326">
        <v>12.561323309551</v>
      </c>
      <c r="S326">
        <v>4.7990183982235202</v>
      </c>
      <c r="T326">
        <v>12.546188695539501</v>
      </c>
      <c r="U326">
        <v>-0.36356981183091702</v>
      </c>
      <c r="V326">
        <v>0.88815404725998703</v>
      </c>
      <c r="W326">
        <v>2</v>
      </c>
      <c r="X326">
        <v>-159.16837860062</v>
      </c>
      <c r="Y326">
        <v>1</v>
      </c>
    </row>
    <row r="327" spans="1:25" x14ac:dyDescent="0.25">
      <c r="A327">
        <v>150</v>
      </c>
      <c r="B327">
        <v>2</v>
      </c>
      <c r="C327" s="1">
        <v>1000000</v>
      </c>
      <c r="D327">
        <v>1</v>
      </c>
      <c r="E327">
        <v>0</v>
      </c>
      <c r="F327">
        <v>1.25</v>
      </c>
      <c r="G327">
        <v>5.25</v>
      </c>
      <c r="H327">
        <v>1.25</v>
      </c>
      <c r="I327">
        <v>0</v>
      </c>
      <c r="J327">
        <v>-0.175116546605291</v>
      </c>
      <c r="K327">
        <v>-6.1545531649990499E-2</v>
      </c>
      <c r="L327">
        <v>14.992329698125401</v>
      </c>
      <c r="M327">
        <v>64.3453370545935</v>
      </c>
      <c r="N327">
        <v>1.36030305275496E-4</v>
      </c>
      <c r="O327">
        <v>4.1887902047863603</v>
      </c>
      <c r="P327">
        <v>0.45516322072923898</v>
      </c>
      <c r="Q327">
        <v>0.82235113059556197</v>
      </c>
      <c r="R327">
        <v>12.561324618439199</v>
      </c>
      <c r="S327">
        <v>5.37688108296503E-2</v>
      </c>
      <c r="T327">
        <v>12.546193924709801</v>
      </c>
      <c r="U327">
        <v>-3.7257853974104103E-2</v>
      </c>
      <c r="V327">
        <v>5.7708239791548E-4</v>
      </c>
      <c r="W327">
        <v>2</v>
      </c>
      <c r="X327">
        <v>149.54838449140701</v>
      </c>
      <c r="Y327">
        <v>1</v>
      </c>
    </row>
    <row r="328" spans="1:25" x14ac:dyDescent="0.25">
      <c r="A328">
        <v>150</v>
      </c>
      <c r="B328">
        <v>2</v>
      </c>
      <c r="C328" s="1">
        <v>1000000</v>
      </c>
      <c r="D328">
        <v>1</v>
      </c>
      <c r="E328">
        <v>0</v>
      </c>
      <c r="F328">
        <v>1.2749999999999999</v>
      </c>
      <c r="G328">
        <v>5.2750000000000004</v>
      </c>
      <c r="H328">
        <v>1.2749999999999999</v>
      </c>
      <c r="I328">
        <v>0</v>
      </c>
      <c r="J328">
        <v>-0.122049821799165</v>
      </c>
      <c r="K328">
        <v>-2.1888818021886199E-2</v>
      </c>
      <c r="L328">
        <v>15.011274784894299</v>
      </c>
      <c r="M328">
        <v>64.316735405337795</v>
      </c>
      <c r="N328">
        <v>1.5673458030330699E-4</v>
      </c>
      <c r="O328">
        <v>4.1887902047863399</v>
      </c>
      <c r="P328">
        <v>0.40131912072238501</v>
      </c>
      <c r="Q328">
        <v>0.275141526025109</v>
      </c>
      <c r="R328">
        <v>12.5613246247338</v>
      </c>
      <c r="S328" s="1">
        <v>9.7835422943685094E-5</v>
      </c>
      <c r="T328">
        <v>12.546193949857599</v>
      </c>
      <c r="U328">
        <v>-4.4865176480583101E-2</v>
      </c>
      <c r="V328" s="1">
        <v>1.69660443340322E-5</v>
      </c>
      <c r="W328">
        <v>2</v>
      </c>
      <c r="X328">
        <v>151.303349110531</v>
      </c>
      <c r="Y328">
        <v>1</v>
      </c>
    </row>
    <row r="329" spans="1:25" x14ac:dyDescent="0.25">
      <c r="A329">
        <v>150</v>
      </c>
      <c r="B329">
        <v>2</v>
      </c>
      <c r="C329" s="1">
        <v>1000000</v>
      </c>
      <c r="D329">
        <v>1</v>
      </c>
      <c r="E329">
        <v>0</v>
      </c>
      <c r="F329">
        <v>1.3</v>
      </c>
      <c r="G329">
        <v>5.3</v>
      </c>
      <c r="H329">
        <v>1.3</v>
      </c>
      <c r="I329">
        <v>0</v>
      </c>
      <c r="J329">
        <v>-5.3358095703210803E-2</v>
      </c>
      <c r="K329">
        <v>-2.0859326452466999E-2</v>
      </c>
      <c r="L329">
        <v>15.0157859507336</v>
      </c>
      <c r="M329">
        <v>64.319994453366405</v>
      </c>
      <c r="N329">
        <v>1.1316386061065501E-4</v>
      </c>
      <c r="O329">
        <v>4.1887902047863204</v>
      </c>
      <c r="P329">
        <v>0.40708906236294701</v>
      </c>
      <c r="Q329">
        <v>0.26223960122605</v>
      </c>
      <c r="R329">
        <v>12.5613246248073</v>
      </c>
      <c r="S329">
        <v>1.39495590700081E-4</v>
      </c>
      <c r="T329">
        <v>12.5461939501514</v>
      </c>
      <c r="U329">
        <v>-3.1990619465235903E-2</v>
      </c>
      <c r="V329">
        <v>1.5727492647139E-4</v>
      </c>
      <c r="W329">
        <v>2</v>
      </c>
      <c r="X329">
        <v>150.89740267397201</v>
      </c>
      <c r="Y329">
        <v>1</v>
      </c>
    </row>
    <row r="330" spans="1:25" x14ac:dyDescent="0.25">
      <c r="A330">
        <v>174</v>
      </c>
      <c r="B330">
        <v>2</v>
      </c>
      <c r="C330" s="1">
        <v>1000000</v>
      </c>
      <c r="D330">
        <v>1</v>
      </c>
      <c r="E330">
        <v>0</v>
      </c>
      <c r="F330">
        <v>0.3</v>
      </c>
      <c r="G330">
        <v>4.3</v>
      </c>
      <c r="H330">
        <v>0.3</v>
      </c>
      <c r="I330">
        <v>0</v>
      </c>
      <c r="J330">
        <v>-6.0294124195599297</v>
      </c>
      <c r="K330">
        <v>-5.9625012723028501</v>
      </c>
      <c r="L330">
        <v>-9.7427635308688192</v>
      </c>
      <c r="M330">
        <v>56.968135373973297</v>
      </c>
      <c r="N330">
        <v>2.3216957819015499E-4</v>
      </c>
      <c r="O330">
        <v>4.1887902047864198</v>
      </c>
      <c r="P330">
        <v>-2.0521560155745999</v>
      </c>
      <c r="Q330">
        <v>14.8548202755051</v>
      </c>
      <c r="R330">
        <v>12.5613240278782</v>
      </c>
      <c r="S330">
        <v>17.4990344691712</v>
      </c>
      <c r="T330">
        <v>12.546191565311799</v>
      </c>
      <c r="U330">
        <v>7.3194159670898304E-2</v>
      </c>
      <c r="V330">
        <v>2</v>
      </c>
      <c r="W330">
        <v>2.3785500000000002</v>
      </c>
      <c r="X330">
        <v>69.318754294171001</v>
      </c>
      <c r="Y330">
        <v>1</v>
      </c>
    </row>
    <row r="331" spans="1:25" x14ac:dyDescent="0.25">
      <c r="A331">
        <v>174</v>
      </c>
      <c r="B331">
        <v>2</v>
      </c>
      <c r="C331" s="1">
        <v>1000000</v>
      </c>
      <c r="D331">
        <v>1</v>
      </c>
      <c r="E331">
        <v>0</v>
      </c>
      <c r="F331">
        <v>0.32500000000000001</v>
      </c>
      <c r="G331">
        <v>4.3250000000000002</v>
      </c>
      <c r="H331">
        <v>0.32500000000000001</v>
      </c>
      <c r="I331">
        <v>0</v>
      </c>
      <c r="J331">
        <v>-9.3083095961990594</v>
      </c>
      <c r="K331">
        <v>-9.2117368919575</v>
      </c>
      <c r="L331">
        <v>-8.5309245779565703</v>
      </c>
      <c r="M331">
        <v>55.876597811980702</v>
      </c>
      <c r="N331">
        <v>0.113283468742728</v>
      </c>
      <c r="O331">
        <v>4.1887902069168401</v>
      </c>
      <c r="P331">
        <v>-3.71690256404167</v>
      </c>
      <c r="Q331">
        <v>13.8254407343832</v>
      </c>
      <c r="R331">
        <v>12.561305462558099</v>
      </c>
      <c r="S331">
        <v>15.183044711783801</v>
      </c>
      <c r="T331">
        <v>12.5461173939345</v>
      </c>
      <c r="U331">
        <v>7.9796943429622999E-2</v>
      </c>
      <c r="V331">
        <v>1.9824046699795801</v>
      </c>
      <c r="W331">
        <v>2.2136100000000001</v>
      </c>
      <c r="X331">
        <v>105.36123687989701</v>
      </c>
      <c r="Y331">
        <v>1</v>
      </c>
    </row>
    <row r="332" spans="1:25" x14ac:dyDescent="0.25">
      <c r="A332">
        <v>174</v>
      </c>
      <c r="B332">
        <v>2</v>
      </c>
      <c r="C332" s="1">
        <v>1000000</v>
      </c>
      <c r="D332">
        <v>1</v>
      </c>
      <c r="E332">
        <v>0</v>
      </c>
      <c r="F332">
        <v>0.35</v>
      </c>
      <c r="G332">
        <v>4.3499999999999996</v>
      </c>
      <c r="H332">
        <v>0.35</v>
      </c>
      <c r="I332">
        <v>0</v>
      </c>
      <c r="J332">
        <v>-10.7027840291048</v>
      </c>
      <c r="K332">
        <v>-10.535256062979901</v>
      </c>
      <c r="L332">
        <v>-6.9212049335588999</v>
      </c>
      <c r="M332">
        <v>55.892003950772498</v>
      </c>
      <c r="N332">
        <v>3.6072689946589798E-2</v>
      </c>
      <c r="O332">
        <v>4.1887902047864296</v>
      </c>
      <c r="P332">
        <v>-4.77367934546914</v>
      </c>
      <c r="Q332">
        <v>13.0878398631205</v>
      </c>
      <c r="R332">
        <v>12.5612752780925</v>
      </c>
      <c r="S332">
        <v>13.5800730678391</v>
      </c>
      <c r="T332">
        <v>12.545996804371301</v>
      </c>
      <c r="U332">
        <v>9.4772386531619998E-2</v>
      </c>
      <c r="V332">
        <v>1.9144916918900601</v>
      </c>
      <c r="W332">
        <v>2.09484</v>
      </c>
      <c r="X332">
        <v>135.87860317234799</v>
      </c>
      <c r="Y332">
        <v>1</v>
      </c>
    </row>
    <row r="333" spans="1:25" x14ac:dyDescent="0.25">
      <c r="A333">
        <v>174</v>
      </c>
      <c r="B333">
        <v>2</v>
      </c>
      <c r="C333" s="1">
        <v>1000000</v>
      </c>
      <c r="D333">
        <v>1</v>
      </c>
      <c r="E333">
        <v>0</v>
      </c>
      <c r="F333">
        <v>0.375</v>
      </c>
      <c r="G333">
        <v>4.375</v>
      </c>
      <c r="H333">
        <v>0.375</v>
      </c>
      <c r="I333">
        <v>0</v>
      </c>
      <c r="J333">
        <v>-10.1442945868511</v>
      </c>
      <c r="K333">
        <v>-9.9996231655407506</v>
      </c>
      <c r="L333">
        <v>-5.2839813583744801</v>
      </c>
      <c r="M333">
        <v>56.603766695335899</v>
      </c>
      <c r="N333">
        <v>6.04779008497914E-3</v>
      </c>
      <c r="O333">
        <v>4.1887902047956702</v>
      </c>
      <c r="P333">
        <v>-4.8625647586117697</v>
      </c>
      <c r="Q333">
        <v>12.6271100182366</v>
      </c>
      <c r="R333">
        <v>12.561250050161499</v>
      </c>
      <c r="S333">
        <v>12.6496192850501</v>
      </c>
      <c r="T333">
        <v>12.545895992978799</v>
      </c>
      <c r="U333">
        <v>0.106411397716332</v>
      </c>
      <c r="V333">
        <v>1.84233651883619</v>
      </c>
      <c r="W333">
        <v>2.02468</v>
      </c>
      <c r="X333">
        <v>160.878448329409</v>
      </c>
      <c r="Y333">
        <v>1</v>
      </c>
    </row>
    <row r="334" spans="1:25" x14ac:dyDescent="0.25">
      <c r="A334">
        <v>174</v>
      </c>
      <c r="B334">
        <v>2</v>
      </c>
      <c r="C334" s="1">
        <v>1000000</v>
      </c>
      <c r="D334">
        <v>1</v>
      </c>
      <c r="E334">
        <v>0</v>
      </c>
      <c r="F334">
        <v>0.4</v>
      </c>
      <c r="G334">
        <v>4.4000000000000004</v>
      </c>
      <c r="H334">
        <v>0.4</v>
      </c>
      <c r="I334">
        <v>0</v>
      </c>
      <c r="J334">
        <v>-9.0479602216714792</v>
      </c>
      <c r="K334">
        <v>-8.9058629747809608</v>
      </c>
      <c r="L334">
        <v>-3.77974717990883</v>
      </c>
      <c r="M334">
        <v>57.417181309742098</v>
      </c>
      <c r="N334">
        <v>7.5874751771685001E-3</v>
      </c>
      <c r="O334">
        <v>4.1887902047838699</v>
      </c>
      <c r="P334">
        <v>-4.5732532738974596</v>
      </c>
      <c r="Q334">
        <v>12.2788537572903</v>
      </c>
      <c r="R334">
        <v>12.561225584366699</v>
      </c>
      <c r="S334">
        <v>11.955099445075399</v>
      </c>
      <c r="T334">
        <v>12.545798214609301</v>
      </c>
      <c r="U334">
        <v>0.146341710841742</v>
      </c>
      <c r="V334">
        <v>1.7778855763435799</v>
      </c>
      <c r="W334">
        <v>2</v>
      </c>
      <c r="X334">
        <v>174.89544648947299</v>
      </c>
      <c r="Y334">
        <v>1</v>
      </c>
    </row>
    <row r="335" spans="1:25" x14ac:dyDescent="0.25">
      <c r="A335">
        <v>174</v>
      </c>
      <c r="B335">
        <v>2</v>
      </c>
      <c r="C335" s="1">
        <v>1000000</v>
      </c>
      <c r="D335">
        <v>1</v>
      </c>
      <c r="E335">
        <v>0</v>
      </c>
      <c r="F335">
        <v>0.42499999999999999</v>
      </c>
      <c r="G335">
        <v>4.4249999999999998</v>
      </c>
      <c r="H335">
        <v>0.42499999999999999</v>
      </c>
      <c r="I335">
        <v>0</v>
      </c>
      <c r="J335">
        <v>-8.0042955646371592</v>
      </c>
      <c r="K335">
        <v>-7.8921086832664704</v>
      </c>
      <c r="L335">
        <v>-2.4482758060699199</v>
      </c>
      <c r="M335">
        <v>58.267884280460798</v>
      </c>
      <c r="N335">
        <v>1.0659945304415001E-2</v>
      </c>
      <c r="O335">
        <v>4.18879020478645</v>
      </c>
      <c r="P335">
        <v>-4.2129616603522102</v>
      </c>
      <c r="Q335">
        <v>12.027277203665101</v>
      </c>
      <c r="R335">
        <v>12.561189204166499</v>
      </c>
      <c r="S335">
        <v>11.4718320303752</v>
      </c>
      <c r="T335">
        <v>12.5456528394724</v>
      </c>
      <c r="U335">
        <v>0.155668340258515</v>
      </c>
      <c r="V335">
        <v>1.7174262056510201</v>
      </c>
      <c r="W335">
        <v>2</v>
      </c>
      <c r="X335">
        <v>-86.610371383755805</v>
      </c>
      <c r="Y335">
        <v>1</v>
      </c>
    </row>
    <row r="336" spans="1:25" x14ac:dyDescent="0.25">
      <c r="A336">
        <v>174</v>
      </c>
      <c r="B336">
        <v>2</v>
      </c>
      <c r="C336" s="1">
        <v>1000000</v>
      </c>
      <c r="D336">
        <v>1</v>
      </c>
      <c r="E336">
        <v>0</v>
      </c>
      <c r="F336">
        <v>0.45</v>
      </c>
      <c r="G336">
        <v>4.45</v>
      </c>
      <c r="H336">
        <v>0.45</v>
      </c>
      <c r="I336">
        <v>0</v>
      </c>
      <c r="J336">
        <v>-7.1207591908302703</v>
      </c>
      <c r="K336">
        <v>-7.0385575429567799</v>
      </c>
      <c r="L336">
        <v>-1.27179721452897</v>
      </c>
      <c r="M336">
        <v>59.082399376371299</v>
      </c>
      <c r="N336">
        <v>9.1767974472771505E-2</v>
      </c>
      <c r="O336">
        <v>4.1887902064436799</v>
      </c>
      <c r="P336">
        <v>-3.8701360407835899</v>
      </c>
      <c r="Q336">
        <v>11.8280683060692</v>
      </c>
      <c r="R336">
        <v>12.5612397094544</v>
      </c>
      <c r="S336">
        <v>11.1076693638609</v>
      </c>
      <c r="T336">
        <v>12.545854666088999</v>
      </c>
      <c r="U336">
        <v>0.161615744944616</v>
      </c>
      <c r="V336">
        <v>1.6719688655093199</v>
      </c>
      <c r="W336">
        <v>2</v>
      </c>
      <c r="X336">
        <v>-167.96931284239599</v>
      </c>
      <c r="Y336">
        <v>1</v>
      </c>
    </row>
    <row r="337" spans="1:25" x14ac:dyDescent="0.25">
      <c r="A337">
        <v>174</v>
      </c>
      <c r="B337">
        <v>2</v>
      </c>
      <c r="C337" s="1">
        <v>1000000</v>
      </c>
      <c r="D337">
        <v>1</v>
      </c>
      <c r="E337">
        <v>0</v>
      </c>
      <c r="F337">
        <v>0.47499999999999998</v>
      </c>
      <c r="G337">
        <v>4.4749999999999996</v>
      </c>
      <c r="H337">
        <v>0.47499999999999998</v>
      </c>
      <c r="I337">
        <v>0</v>
      </c>
      <c r="J337">
        <v>-6.39541777434287</v>
      </c>
      <c r="K337">
        <v>-6.3106303570271498</v>
      </c>
      <c r="L337">
        <v>-0.21263452741421399</v>
      </c>
      <c r="M337">
        <v>59.793600451706901</v>
      </c>
      <c r="N337">
        <v>1.13161465094104E-2</v>
      </c>
      <c r="O337">
        <v>4.1887902047864403</v>
      </c>
      <c r="P337">
        <v>-3.5727323914324698</v>
      </c>
      <c r="Q337">
        <v>11.6413254590455</v>
      </c>
      <c r="R337">
        <v>12.561289800278001</v>
      </c>
      <c r="S337">
        <v>10.7575955506345</v>
      </c>
      <c r="T337">
        <v>12.546054814879399</v>
      </c>
      <c r="U337">
        <v>0.18723515962756401</v>
      </c>
      <c r="V337">
        <v>1.62796715300515</v>
      </c>
      <c r="W337">
        <v>2</v>
      </c>
      <c r="X337">
        <v>-164.05001738887501</v>
      </c>
      <c r="Y337">
        <v>1</v>
      </c>
    </row>
    <row r="338" spans="1:25" x14ac:dyDescent="0.25">
      <c r="A338">
        <v>174</v>
      </c>
      <c r="B338">
        <v>2</v>
      </c>
      <c r="C338" s="1">
        <v>1000000</v>
      </c>
      <c r="D338">
        <v>1</v>
      </c>
      <c r="E338">
        <v>0</v>
      </c>
      <c r="F338">
        <v>0.5</v>
      </c>
      <c r="G338">
        <v>4.5</v>
      </c>
      <c r="H338">
        <v>0.5</v>
      </c>
      <c r="I338">
        <v>0</v>
      </c>
      <c r="J338">
        <v>-5.7926660581205303</v>
      </c>
      <c r="K338">
        <v>-5.7082758170709003</v>
      </c>
      <c r="L338">
        <v>0.74289363855995605</v>
      </c>
      <c r="M338">
        <v>60.453406336347001</v>
      </c>
      <c r="N338">
        <v>1.51381621459983E-2</v>
      </c>
      <c r="O338">
        <v>4.1887902047864296</v>
      </c>
      <c r="P338">
        <v>-3.3140973702287901</v>
      </c>
      <c r="Q338">
        <v>11.4804557495083</v>
      </c>
      <c r="R338">
        <v>12.5613029644395</v>
      </c>
      <c r="S338">
        <v>10.4601997085097</v>
      </c>
      <c r="T338">
        <v>12.5461074117894</v>
      </c>
      <c r="U338">
        <v>0.20816962237046799</v>
      </c>
      <c r="V338">
        <v>1.5878302480222</v>
      </c>
      <c r="W338">
        <v>2</v>
      </c>
      <c r="X338">
        <v>-161.46290416199699</v>
      </c>
      <c r="Y338">
        <v>1</v>
      </c>
    </row>
    <row r="339" spans="1:25" x14ac:dyDescent="0.25">
      <c r="A339">
        <v>174</v>
      </c>
      <c r="B339">
        <v>2</v>
      </c>
      <c r="C339" s="1">
        <v>1000000</v>
      </c>
      <c r="D339">
        <v>1</v>
      </c>
      <c r="E339">
        <v>0</v>
      </c>
      <c r="F339">
        <v>0.52500000000000002</v>
      </c>
      <c r="G339">
        <v>4.5250000000000004</v>
      </c>
      <c r="H339">
        <v>0.52500000000000002</v>
      </c>
      <c r="I339">
        <v>0</v>
      </c>
      <c r="J339">
        <v>-5.3385661033828002</v>
      </c>
      <c r="K339">
        <v>-5.20297648409883</v>
      </c>
      <c r="L339">
        <v>1.61179050435871</v>
      </c>
      <c r="M339">
        <v>61.062039958877797</v>
      </c>
      <c r="N339">
        <v>9.0250132908491106E-3</v>
      </c>
      <c r="O339">
        <v>4.1887902047864296</v>
      </c>
      <c r="P339">
        <v>-3.08930751495109</v>
      </c>
      <c r="Q339">
        <v>11.336599868477601</v>
      </c>
      <c r="R339">
        <v>12.5613075248986</v>
      </c>
      <c r="S339">
        <v>10.1984887820587</v>
      </c>
      <c r="T339">
        <v>12.5461256324852</v>
      </c>
      <c r="U339">
        <v>0.230032114317992</v>
      </c>
      <c r="V339">
        <v>1.5516599057695699</v>
      </c>
      <c r="W339">
        <v>2</v>
      </c>
      <c r="X339">
        <v>-159.70497720105999</v>
      </c>
      <c r="Y339">
        <v>1</v>
      </c>
    </row>
    <row r="340" spans="1:25" x14ac:dyDescent="0.25">
      <c r="A340">
        <v>174</v>
      </c>
      <c r="B340">
        <v>2</v>
      </c>
      <c r="C340" s="1">
        <v>1000000</v>
      </c>
      <c r="D340">
        <v>1</v>
      </c>
      <c r="E340">
        <v>0</v>
      </c>
      <c r="F340">
        <v>0.55000000000000004</v>
      </c>
      <c r="G340">
        <v>4.55</v>
      </c>
      <c r="H340">
        <v>0.55000000000000004</v>
      </c>
      <c r="I340">
        <v>0</v>
      </c>
      <c r="J340">
        <v>-4.82436703801962</v>
      </c>
      <c r="K340">
        <v>-4.7709456567278599</v>
      </c>
      <c r="L340">
        <v>2.4066627182131399</v>
      </c>
      <c r="M340">
        <v>61.618163010654698</v>
      </c>
      <c r="N340">
        <v>0.25192959963892098</v>
      </c>
      <c r="O340">
        <v>4.1887902047865904</v>
      </c>
      <c r="P340">
        <v>-2.89256983615837</v>
      </c>
      <c r="Q340">
        <v>11.2012393944668</v>
      </c>
      <c r="R340">
        <v>12.5612692476831</v>
      </c>
      <c r="S340">
        <v>9.9585797207113398</v>
      </c>
      <c r="T340">
        <v>12.545972695993701</v>
      </c>
      <c r="U340">
        <v>0.26660909650326098</v>
      </c>
      <c r="V340">
        <v>1.51578472220976</v>
      </c>
      <c r="W340">
        <v>2</v>
      </c>
      <c r="X340">
        <v>-158.574452247713</v>
      </c>
      <c r="Y340">
        <v>1</v>
      </c>
    </row>
    <row r="341" spans="1:25" x14ac:dyDescent="0.25">
      <c r="A341">
        <v>174</v>
      </c>
      <c r="B341">
        <v>2</v>
      </c>
      <c r="C341" s="1">
        <v>1000000</v>
      </c>
      <c r="D341">
        <v>1</v>
      </c>
      <c r="E341">
        <v>0</v>
      </c>
      <c r="F341">
        <v>0.57499999999999996</v>
      </c>
      <c r="G341">
        <v>4.5750000000000002</v>
      </c>
      <c r="H341">
        <v>0.57499999999999996</v>
      </c>
      <c r="I341">
        <v>0</v>
      </c>
      <c r="J341">
        <v>-4.4900036817242004</v>
      </c>
      <c r="K341">
        <v>-4.4019111280523697</v>
      </c>
      <c r="L341">
        <v>3.1398222827553801</v>
      </c>
      <c r="M341">
        <v>62.140343357583397</v>
      </c>
      <c r="N341">
        <v>2.6526879839921499E-4</v>
      </c>
      <c r="O341">
        <v>4.1887902047864296</v>
      </c>
      <c r="P341">
        <v>-2.7189065528341398</v>
      </c>
      <c r="Q341">
        <v>11.082193211946</v>
      </c>
      <c r="R341">
        <v>12.5612750124866</v>
      </c>
      <c r="S341">
        <v>9.7464249624858592</v>
      </c>
      <c r="T341">
        <v>12.5459957287532</v>
      </c>
      <c r="U341">
        <v>0.28551172810361503</v>
      </c>
      <c r="V341">
        <v>1.4836374003684401</v>
      </c>
      <c r="W341">
        <v>2</v>
      </c>
      <c r="X341">
        <v>-157.90240046455099</v>
      </c>
      <c r="Y341">
        <v>1</v>
      </c>
    </row>
    <row r="342" spans="1:25" x14ac:dyDescent="0.25">
      <c r="A342">
        <v>174</v>
      </c>
      <c r="B342">
        <v>2</v>
      </c>
      <c r="C342" s="1">
        <v>1000000</v>
      </c>
      <c r="D342">
        <v>1</v>
      </c>
      <c r="E342">
        <v>0</v>
      </c>
      <c r="F342">
        <v>0.6</v>
      </c>
      <c r="G342">
        <v>4.5999999999999996</v>
      </c>
      <c r="H342">
        <v>0.6</v>
      </c>
      <c r="I342">
        <v>0</v>
      </c>
      <c r="J342">
        <v>-4.196462186472</v>
      </c>
      <c r="K342">
        <v>-4.0803740035644704</v>
      </c>
      <c r="L342">
        <v>3.8186381989626499</v>
      </c>
      <c r="M342">
        <v>62.6268612752216</v>
      </c>
      <c r="N342">
        <v>0.27501692890436003</v>
      </c>
      <c r="O342">
        <v>4.1887902084721604</v>
      </c>
      <c r="P342">
        <v>-2.5636521786076498</v>
      </c>
      <c r="Q342">
        <v>10.972919100693201</v>
      </c>
      <c r="R342">
        <v>12.5612743900837</v>
      </c>
      <c r="S342">
        <v>9.5530758112199496</v>
      </c>
      <c r="T342">
        <v>12.5459932407863</v>
      </c>
      <c r="U342">
        <v>0.29773096066391103</v>
      </c>
      <c r="V342">
        <v>1.45070782368406</v>
      </c>
      <c r="W342">
        <v>2</v>
      </c>
      <c r="X342">
        <v>-157.55340712440301</v>
      </c>
      <c r="Y342">
        <v>1</v>
      </c>
    </row>
    <row r="343" spans="1:25" x14ac:dyDescent="0.25">
      <c r="A343">
        <v>174</v>
      </c>
      <c r="B343">
        <v>2</v>
      </c>
      <c r="C343" s="1">
        <v>1000000</v>
      </c>
      <c r="D343">
        <v>1</v>
      </c>
      <c r="E343">
        <v>0</v>
      </c>
      <c r="F343">
        <v>0.625</v>
      </c>
      <c r="G343">
        <v>4.625</v>
      </c>
      <c r="H343">
        <v>0.625</v>
      </c>
      <c r="I343">
        <v>0</v>
      </c>
      <c r="J343">
        <v>-3.8669485092801898</v>
      </c>
      <c r="K343">
        <v>-3.7964598023791201</v>
      </c>
      <c r="L343">
        <v>4.4505851594641399</v>
      </c>
      <c r="M343">
        <v>63.075845401312201</v>
      </c>
      <c r="N343">
        <v>1.6591464871651598E-2</v>
      </c>
      <c r="O343">
        <v>4.1887902047882797</v>
      </c>
      <c r="P343">
        <v>-2.4247712007078599</v>
      </c>
      <c r="Q343">
        <v>10.867818316554199</v>
      </c>
      <c r="R343">
        <v>12.5612850822453</v>
      </c>
      <c r="S343">
        <v>9.3690753565833198</v>
      </c>
      <c r="T343">
        <v>12.546035961243801</v>
      </c>
      <c r="U343">
        <v>0.31952743112735899</v>
      </c>
      <c r="V343">
        <v>1.4210113783109699</v>
      </c>
      <c r="W343">
        <v>2</v>
      </c>
      <c r="X343">
        <v>-157.43482248432599</v>
      </c>
      <c r="Y343">
        <v>1</v>
      </c>
    </row>
    <row r="344" spans="1:25" x14ac:dyDescent="0.25">
      <c r="A344">
        <v>174</v>
      </c>
      <c r="B344">
        <v>2</v>
      </c>
      <c r="C344" s="1">
        <v>1000000</v>
      </c>
      <c r="D344">
        <v>1</v>
      </c>
      <c r="E344">
        <v>0</v>
      </c>
      <c r="F344">
        <v>0.65</v>
      </c>
      <c r="G344">
        <v>4.6500000000000004</v>
      </c>
      <c r="H344">
        <v>0.65</v>
      </c>
      <c r="I344">
        <v>0</v>
      </c>
      <c r="J344">
        <v>-3.6395501676654001</v>
      </c>
      <c r="K344">
        <v>-3.5427748597354798</v>
      </c>
      <c r="L344">
        <v>5.0405813642736303</v>
      </c>
      <c r="M344">
        <v>63.494292090540199</v>
      </c>
      <c r="N344">
        <v>5.7496377613693505E-4</v>
      </c>
      <c r="O344">
        <v>4.1887902047864198</v>
      </c>
      <c r="P344">
        <v>-2.2980667124176102</v>
      </c>
      <c r="Q344">
        <v>10.768063349332801</v>
      </c>
      <c r="R344">
        <v>12.561289473953501</v>
      </c>
      <c r="S344">
        <v>9.1965745454042604</v>
      </c>
      <c r="T344">
        <v>12.546053507652999</v>
      </c>
      <c r="U344">
        <v>0.33274528097082001</v>
      </c>
      <c r="V344">
        <v>1.39237922261471</v>
      </c>
      <c r="W344">
        <v>2</v>
      </c>
      <c r="X344">
        <v>-157.51279348662499</v>
      </c>
      <c r="Y344">
        <v>1</v>
      </c>
    </row>
    <row r="345" spans="1:25" x14ac:dyDescent="0.25">
      <c r="A345">
        <v>174</v>
      </c>
      <c r="B345">
        <v>2</v>
      </c>
      <c r="C345" s="1">
        <v>1000000</v>
      </c>
      <c r="D345">
        <v>1</v>
      </c>
      <c r="E345">
        <v>0</v>
      </c>
      <c r="F345">
        <v>0.67500000000000004</v>
      </c>
      <c r="G345">
        <v>4.6749999999999998</v>
      </c>
      <c r="H345">
        <v>0.67500000000000004</v>
      </c>
      <c r="I345">
        <v>0</v>
      </c>
      <c r="J345">
        <v>-3.4107982680651898</v>
      </c>
      <c r="K345">
        <v>-3.3170030137511999</v>
      </c>
      <c r="L345">
        <v>5.59338007764803</v>
      </c>
      <c r="M345">
        <v>63.887851487198198</v>
      </c>
      <c r="N345" s="1">
        <v>1.1410162772876299E-5</v>
      </c>
      <c r="O345">
        <v>4.1887902047864198</v>
      </c>
      <c r="P345">
        <v>-2.1828908841943702</v>
      </c>
      <c r="Q345">
        <v>10.6740640013979</v>
      </c>
      <c r="R345">
        <v>12.5612917474804</v>
      </c>
      <c r="S345">
        <v>9.0364576790402698</v>
      </c>
      <c r="T345">
        <v>12.5460625909718</v>
      </c>
      <c r="U345">
        <v>0.33390788066566002</v>
      </c>
      <c r="V345">
        <v>1.36479332398369</v>
      </c>
      <c r="W345">
        <v>2</v>
      </c>
      <c r="X345">
        <v>-157.719147645936</v>
      </c>
      <c r="Y345">
        <v>1</v>
      </c>
    </row>
    <row r="346" spans="1:25" x14ac:dyDescent="0.25">
      <c r="A346">
        <v>174</v>
      </c>
      <c r="B346">
        <v>2</v>
      </c>
      <c r="C346" s="1">
        <v>1000000</v>
      </c>
      <c r="D346">
        <v>1</v>
      </c>
      <c r="E346">
        <v>0</v>
      </c>
      <c r="F346">
        <v>0.7</v>
      </c>
      <c r="G346">
        <v>4.7</v>
      </c>
      <c r="H346">
        <v>0.7</v>
      </c>
      <c r="I346">
        <v>0</v>
      </c>
      <c r="J346">
        <v>-3.2065258452751002</v>
      </c>
      <c r="K346">
        <v>-3.1159834194765801</v>
      </c>
      <c r="L346">
        <v>6.1129468743056297</v>
      </c>
      <c r="M346">
        <v>64.260964525150598</v>
      </c>
      <c r="N346">
        <v>1.50748713772979E-2</v>
      </c>
      <c r="O346">
        <v>4.1887902047864296</v>
      </c>
      <c r="P346">
        <v>-2.0779865839874101</v>
      </c>
      <c r="Q346">
        <v>10.587122035276201</v>
      </c>
      <c r="R346">
        <v>12.5612928537182</v>
      </c>
      <c r="S346">
        <v>8.8892035127825597</v>
      </c>
      <c r="T346">
        <v>12.546067010564601</v>
      </c>
      <c r="U346">
        <v>0.32739272200526998</v>
      </c>
      <c r="V346">
        <v>1.3376567300544</v>
      </c>
      <c r="W346">
        <v>2</v>
      </c>
      <c r="X346">
        <v>-157.99460154632101</v>
      </c>
      <c r="Y346">
        <v>1</v>
      </c>
    </row>
    <row r="347" spans="1:25" x14ac:dyDescent="0.25">
      <c r="A347">
        <v>174</v>
      </c>
      <c r="B347">
        <v>2</v>
      </c>
      <c r="C347" s="1">
        <v>1000000</v>
      </c>
      <c r="D347">
        <v>1</v>
      </c>
      <c r="E347">
        <v>0</v>
      </c>
      <c r="F347">
        <v>0.72499999999999998</v>
      </c>
      <c r="G347">
        <v>4.7249999999999996</v>
      </c>
      <c r="H347">
        <v>0.72499999999999998</v>
      </c>
      <c r="I347">
        <v>0</v>
      </c>
      <c r="J347">
        <v>-3.0286136108242401</v>
      </c>
      <c r="K347">
        <v>-2.93062727070375</v>
      </c>
      <c r="L347">
        <v>6.60258963131818</v>
      </c>
      <c r="M347">
        <v>64.606449000155195</v>
      </c>
      <c r="N347" s="1">
        <v>7.8679218263166706E-5</v>
      </c>
      <c r="O347">
        <v>4.1887902047864296</v>
      </c>
      <c r="P347">
        <v>-1.9802743643199401</v>
      </c>
      <c r="Q347">
        <v>10.5010582272392</v>
      </c>
      <c r="R347">
        <v>12.561295638728</v>
      </c>
      <c r="S347">
        <v>8.7442503124433202</v>
      </c>
      <c r="T347">
        <v>12.546078137832399</v>
      </c>
      <c r="U347">
        <v>0.32402744707250503</v>
      </c>
      <c r="V347">
        <v>1.3113247812506801</v>
      </c>
      <c r="W347">
        <v>2</v>
      </c>
      <c r="X347">
        <v>-158.40199520533599</v>
      </c>
      <c r="Y347">
        <v>1</v>
      </c>
    </row>
    <row r="348" spans="1:25" x14ac:dyDescent="0.25">
      <c r="A348">
        <v>174</v>
      </c>
      <c r="B348">
        <v>2</v>
      </c>
      <c r="C348" s="1">
        <v>1000000</v>
      </c>
      <c r="D348">
        <v>1</v>
      </c>
      <c r="E348">
        <v>0</v>
      </c>
      <c r="F348">
        <v>0.75</v>
      </c>
      <c r="G348">
        <v>4.75</v>
      </c>
      <c r="H348">
        <v>0.75</v>
      </c>
      <c r="I348">
        <v>0</v>
      </c>
      <c r="J348">
        <v>-2.8650547811583502</v>
      </c>
      <c r="K348">
        <v>-2.76222579491002</v>
      </c>
      <c r="L348">
        <v>7.0650806494414304</v>
      </c>
      <c r="M348">
        <v>64.931021909587699</v>
      </c>
      <c r="N348" s="1">
        <v>1.05834651503515E-5</v>
      </c>
      <c r="O348">
        <v>4.1887902047864296</v>
      </c>
      <c r="P348">
        <v>-1.89023479100824</v>
      </c>
      <c r="Q348">
        <v>10.418387783879499</v>
      </c>
      <c r="R348">
        <v>12.561296739114001</v>
      </c>
      <c r="S348">
        <v>8.6055756365796192</v>
      </c>
      <c r="T348">
        <v>12.5460825342885</v>
      </c>
      <c r="U348">
        <v>0.30899815769970501</v>
      </c>
      <c r="V348">
        <v>1.2860053211114699</v>
      </c>
      <c r="W348">
        <v>2</v>
      </c>
      <c r="X348">
        <v>-158.83896100819601</v>
      </c>
      <c r="Y348">
        <v>1</v>
      </c>
    </row>
    <row r="349" spans="1:25" x14ac:dyDescent="0.25">
      <c r="A349">
        <v>174</v>
      </c>
      <c r="B349">
        <v>2</v>
      </c>
      <c r="C349" s="1">
        <v>1000000</v>
      </c>
      <c r="D349">
        <v>1</v>
      </c>
      <c r="E349">
        <v>0</v>
      </c>
      <c r="F349">
        <v>0.77500000000000002</v>
      </c>
      <c r="G349">
        <v>4.7750000000000004</v>
      </c>
      <c r="H349">
        <v>0.77500000000000002</v>
      </c>
      <c r="I349">
        <v>0</v>
      </c>
      <c r="J349">
        <v>-2.7140673065440399</v>
      </c>
      <c r="K349">
        <v>-2.6120899184345001</v>
      </c>
      <c r="L349">
        <v>7.5027035200808303</v>
      </c>
      <c r="M349">
        <v>65.247107382029597</v>
      </c>
      <c r="N349" s="1">
        <v>2.50778457055683E-5</v>
      </c>
      <c r="O349">
        <v>4.1887902047864296</v>
      </c>
      <c r="P349">
        <v>-1.80716841256399</v>
      </c>
      <c r="Q349">
        <v>10.345156453086799</v>
      </c>
      <c r="R349">
        <v>12.561297126575401</v>
      </c>
      <c r="S349">
        <v>8.4833718781547702</v>
      </c>
      <c r="T349">
        <v>12.546084082284599</v>
      </c>
      <c r="U349">
        <v>0.29994439497291198</v>
      </c>
      <c r="V349">
        <v>1.2613553194607701</v>
      </c>
      <c r="W349">
        <v>2</v>
      </c>
      <c r="X349">
        <v>-159.314722291224</v>
      </c>
      <c r="Y349">
        <v>1</v>
      </c>
    </row>
    <row r="350" spans="1:25" x14ac:dyDescent="0.25">
      <c r="A350">
        <v>174</v>
      </c>
      <c r="B350">
        <v>2</v>
      </c>
      <c r="C350" s="1">
        <v>1000000</v>
      </c>
      <c r="D350">
        <v>1</v>
      </c>
      <c r="E350">
        <v>0</v>
      </c>
      <c r="F350">
        <v>0.8</v>
      </c>
      <c r="G350">
        <v>4.8</v>
      </c>
      <c r="H350">
        <v>0.8</v>
      </c>
      <c r="I350">
        <v>0</v>
      </c>
      <c r="J350">
        <v>-2.56993234964248</v>
      </c>
      <c r="K350">
        <v>-2.49034431734326</v>
      </c>
      <c r="L350">
        <v>7.9164566438770896</v>
      </c>
      <c r="M350">
        <v>65.607013893696703</v>
      </c>
      <c r="N350">
        <v>6.21450085131326E-2</v>
      </c>
      <c r="O350">
        <v>4.1887902047863896</v>
      </c>
      <c r="P350">
        <v>-1.7283870839534801</v>
      </c>
      <c r="Q350">
        <v>10.315425260188499</v>
      </c>
      <c r="R350">
        <v>12.561285259705301</v>
      </c>
      <c r="S350">
        <v>8.42926877284029</v>
      </c>
      <c r="T350">
        <v>12.5460366670623</v>
      </c>
      <c r="U350">
        <v>0.21411539114005099</v>
      </c>
      <c r="V350">
        <v>1.23642421079482</v>
      </c>
      <c r="W350">
        <v>2</v>
      </c>
      <c r="X350">
        <v>-159.736464754351</v>
      </c>
      <c r="Y350">
        <v>1</v>
      </c>
    </row>
    <row r="351" spans="1:25" x14ac:dyDescent="0.25">
      <c r="A351">
        <v>174</v>
      </c>
      <c r="B351">
        <v>2</v>
      </c>
      <c r="C351" s="1">
        <v>1000000</v>
      </c>
      <c r="D351">
        <v>1</v>
      </c>
      <c r="E351">
        <v>0</v>
      </c>
      <c r="F351">
        <v>0.82499999999999996</v>
      </c>
      <c r="G351">
        <v>4.8250000000000002</v>
      </c>
      <c r="H351">
        <v>0.82499999999999996</v>
      </c>
      <c r="I351">
        <v>0</v>
      </c>
      <c r="J351">
        <v>-2.45883596660466</v>
      </c>
      <c r="K351">
        <v>-2.3511458577475</v>
      </c>
      <c r="L351">
        <v>8.3117014176413999</v>
      </c>
      <c r="M351">
        <v>65.855515925775293</v>
      </c>
      <c r="N351">
        <v>4.20287664736161E-2</v>
      </c>
      <c r="O351">
        <v>4.1887902047875203</v>
      </c>
      <c r="P351">
        <v>-1.6547437933929099</v>
      </c>
      <c r="Q351">
        <v>10.2233170159172</v>
      </c>
      <c r="R351">
        <v>12.5612967404694</v>
      </c>
      <c r="S351">
        <v>8.2816793427364299</v>
      </c>
      <c r="T351">
        <v>12.5460825395439</v>
      </c>
      <c r="U351">
        <v>0.27234321841793602</v>
      </c>
      <c r="V351">
        <v>1.2136797583430401</v>
      </c>
      <c r="W351">
        <v>2</v>
      </c>
      <c r="X351">
        <v>-160.45017687574301</v>
      </c>
      <c r="Y351">
        <v>1</v>
      </c>
    </row>
    <row r="352" spans="1:25" x14ac:dyDescent="0.25">
      <c r="A352">
        <v>174</v>
      </c>
      <c r="B352">
        <v>2</v>
      </c>
      <c r="C352" s="1">
        <v>1000000</v>
      </c>
      <c r="D352">
        <v>1</v>
      </c>
      <c r="E352">
        <v>0</v>
      </c>
      <c r="F352">
        <v>0.85</v>
      </c>
      <c r="G352">
        <v>4.8499999999999996</v>
      </c>
      <c r="H352">
        <v>0.85</v>
      </c>
      <c r="I352">
        <v>0</v>
      </c>
      <c r="J352">
        <v>-2.33005149979213</v>
      </c>
      <c r="K352">
        <v>-2.2423648673796399</v>
      </c>
      <c r="L352">
        <v>8.6862072452978207</v>
      </c>
      <c r="M352">
        <v>66.168129265360406</v>
      </c>
      <c r="N352">
        <v>6.9640988844648602E-2</v>
      </c>
      <c r="O352">
        <v>4.1887902048709398</v>
      </c>
      <c r="P352">
        <v>-1.58458770331668</v>
      </c>
      <c r="Q352">
        <v>10.1860834623442</v>
      </c>
      <c r="R352">
        <v>12.5612935854834</v>
      </c>
      <c r="S352">
        <v>8.2194619520012804</v>
      </c>
      <c r="T352">
        <v>12.5460699336218</v>
      </c>
      <c r="U352">
        <v>0.20412202972290899</v>
      </c>
      <c r="V352">
        <v>1.1901388914237401</v>
      </c>
      <c r="W352">
        <v>2</v>
      </c>
      <c r="X352">
        <v>-161.15094520387501</v>
      </c>
      <c r="Y352">
        <v>1</v>
      </c>
    </row>
    <row r="353" spans="1:25" x14ac:dyDescent="0.25">
      <c r="A353">
        <v>174</v>
      </c>
      <c r="B353">
        <v>2</v>
      </c>
      <c r="C353" s="1">
        <v>1000000</v>
      </c>
      <c r="D353">
        <v>1</v>
      </c>
      <c r="E353">
        <v>0</v>
      </c>
      <c r="F353">
        <v>0.875</v>
      </c>
      <c r="G353">
        <v>4.875</v>
      </c>
      <c r="H353">
        <v>0.875</v>
      </c>
      <c r="I353">
        <v>0</v>
      </c>
      <c r="J353">
        <v>-2.2152656837842999</v>
      </c>
      <c r="K353">
        <v>-2.1285958819750301</v>
      </c>
      <c r="L353">
        <v>9.0435961449906497</v>
      </c>
      <c r="M353">
        <v>66.411558669465506</v>
      </c>
      <c r="N353">
        <v>8.1833998924878901E-3</v>
      </c>
      <c r="O353">
        <v>4.1887902047864198</v>
      </c>
      <c r="P353">
        <v>-1.5197235414736601</v>
      </c>
      <c r="Q353">
        <v>10.1139271698413</v>
      </c>
      <c r="R353">
        <v>12.561296614903499</v>
      </c>
      <c r="S353">
        <v>8.1048748471318905</v>
      </c>
      <c r="T353">
        <v>12.5460820380041</v>
      </c>
      <c r="U353">
        <v>0.22607685494850399</v>
      </c>
      <c r="V353">
        <v>1.16803109075667</v>
      </c>
      <c r="W353">
        <v>2</v>
      </c>
      <c r="X353">
        <v>-151.77567482327601</v>
      </c>
      <c r="Y353">
        <v>1</v>
      </c>
    </row>
    <row r="354" spans="1:25" x14ac:dyDescent="0.25">
      <c r="A354">
        <v>174</v>
      </c>
      <c r="B354">
        <v>2</v>
      </c>
      <c r="C354" s="1">
        <v>1000000</v>
      </c>
      <c r="D354">
        <v>1</v>
      </c>
      <c r="E354">
        <v>0</v>
      </c>
      <c r="F354">
        <v>0.9</v>
      </c>
      <c r="G354">
        <v>4.9000000000000004</v>
      </c>
      <c r="H354">
        <v>0.9</v>
      </c>
      <c r="I354">
        <v>0</v>
      </c>
      <c r="J354">
        <v>-2.1262755258242501</v>
      </c>
      <c r="K354">
        <v>-2.0283567098521198</v>
      </c>
      <c r="L354">
        <v>9.3842418126481704</v>
      </c>
      <c r="M354">
        <v>66.663528673528901</v>
      </c>
      <c r="N354">
        <v>3.3106461716411201E-3</v>
      </c>
      <c r="O354">
        <v>4.1887902047865797</v>
      </c>
      <c r="P354">
        <v>-1.4587761269111399</v>
      </c>
      <c r="Q354">
        <v>10.0584613880629</v>
      </c>
      <c r="R354">
        <v>12.561296088903299</v>
      </c>
      <c r="S354">
        <v>8.0157231460115792</v>
      </c>
      <c r="T354">
        <v>12.5460799365332</v>
      </c>
      <c r="U354">
        <v>0.126053457389079</v>
      </c>
      <c r="V354">
        <v>1.14701447976437</v>
      </c>
      <c r="W354">
        <v>2</v>
      </c>
      <c r="X354">
        <v>-152.332025165327</v>
      </c>
      <c r="Y354">
        <v>1</v>
      </c>
    </row>
    <row r="355" spans="1:25" x14ac:dyDescent="0.25">
      <c r="A355">
        <v>174</v>
      </c>
      <c r="B355">
        <v>2</v>
      </c>
      <c r="C355" s="1">
        <v>1000000</v>
      </c>
      <c r="D355">
        <v>1</v>
      </c>
      <c r="E355">
        <v>0</v>
      </c>
      <c r="F355">
        <v>0.92500000000000004</v>
      </c>
      <c r="G355">
        <v>4.9249999999999998</v>
      </c>
      <c r="H355">
        <v>0.92500000000000004</v>
      </c>
      <c r="I355">
        <v>0</v>
      </c>
      <c r="J355">
        <v>-2.0254167905074398</v>
      </c>
      <c r="K355">
        <v>-1.9312543316730999</v>
      </c>
      <c r="L355">
        <v>9.7091264032025109</v>
      </c>
      <c r="M355">
        <v>66.913394957122406</v>
      </c>
      <c r="N355">
        <v>1.27980860237575E-2</v>
      </c>
      <c r="O355">
        <v>4.1887902048943797</v>
      </c>
      <c r="P355">
        <v>-1.3964219242004401</v>
      </c>
      <c r="Q355">
        <v>10.0108218814623</v>
      </c>
      <c r="R355">
        <v>12.5612964589754</v>
      </c>
      <c r="S355">
        <v>7.9403028710170904</v>
      </c>
      <c r="T355">
        <v>12.5460814153037</v>
      </c>
      <c r="U355">
        <v>0.196030123278327</v>
      </c>
      <c r="V355">
        <v>1.12359560235942</v>
      </c>
      <c r="W355">
        <v>2</v>
      </c>
      <c r="X355">
        <v>-162.97059594810901</v>
      </c>
      <c r="Y355">
        <v>1</v>
      </c>
    </row>
    <row r="356" spans="1:25" x14ac:dyDescent="0.25">
      <c r="A356">
        <v>174</v>
      </c>
      <c r="B356">
        <v>2</v>
      </c>
      <c r="C356" s="1">
        <v>1000000</v>
      </c>
      <c r="D356">
        <v>1</v>
      </c>
      <c r="E356">
        <v>0</v>
      </c>
      <c r="F356">
        <v>0.95</v>
      </c>
      <c r="G356">
        <v>4.95</v>
      </c>
      <c r="H356">
        <v>0.95</v>
      </c>
      <c r="I356">
        <v>0</v>
      </c>
      <c r="J356">
        <v>-1.93444132904299</v>
      </c>
      <c r="K356">
        <v>-1.8393732571463399</v>
      </c>
      <c r="L356">
        <v>10.020347406658599</v>
      </c>
      <c r="M356">
        <v>67.133968474407794</v>
      </c>
      <c r="N356">
        <v>3.4911715271993601E-3</v>
      </c>
      <c r="O356">
        <v>4.18879020479174</v>
      </c>
      <c r="P356">
        <v>-1.33986046347667</v>
      </c>
      <c r="Q356">
        <v>9.9526842607182893</v>
      </c>
      <c r="R356">
        <v>12.5612998164925</v>
      </c>
      <c r="S356">
        <v>7.8491637892433204</v>
      </c>
      <c r="T356">
        <v>12.5460948305205</v>
      </c>
      <c r="U356">
        <v>0.18953867611140099</v>
      </c>
      <c r="V356">
        <v>1.10251362947826</v>
      </c>
      <c r="W356">
        <v>2</v>
      </c>
      <c r="X356">
        <v>-158.68256313979199</v>
      </c>
      <c r="Y356">
        <v>1</v>
      </c>
    </row>
    <row r="357" spans="1:25" x14ac:dyDescent="0.25">
      <c r="A357">
        <v>174</v>
      </c>
      <c r="B357">
        <v>2</v>
      </c>
      <c r="C357" s="1">
        <v>1000000</v>
      </c>
      <c r="D357">
        <v>1</v>
      </c>
      <c r="E357">
        <v>0</v>
      </c>
      <c r="F357">
        <v>0.97499999999999998</v>
      </c>
      <c r="G357">
        <v>4.9749999999999996</v>
      </c>
      <c r="H357">
        <v>0.97499999999999998</v>
      </c>
      <c r="I357">
        <v>0</v>
      </c>
      <c r="J357">
        <v>-1.848201492274</v>
      </c>
      <c r="K357">
        <v>-1.7690302273271901</v>
      </c>
      <c r="L357">
        <v>10.311910818593899</v>
      </c>
      <c r="M357">
        <v>67.412113151242593</v>
      </c>
      <c r="N357">
        <v>1.9425873176806799E-3</v>
      </c>
      <c r="O357">
        <v>4.1887902047864296</v>
      </c>
      <c r="P357">
        <v>-1.28556764719604</v>
      </c>
      <c r="Q357">
        <v>9.9674892097160708</v>
      </c>
      <c r="R357">
        <v>12.561302736994399</v>
      </c>
      <c r="S357">
        <v>7.8356502083270998</v>
      </c>
      <c r="T357">
        <v>12.5461065005326</v>
      </c>
      <c r="U357">
        <v>-3.8706895169775102E-2</v>
      </c>
      <c r="V357">
        <v>1.08240004830646</v>
      </c>
      <c r="W357">
        <v>2</v>
      </c>
      <c r="X357">
        <v>-154.036795152358</v>
      </c>
      <c r="Y357">
        <v>1</v>
      </c>
    </row>
    <row r="358" spans="1:25" x14ac:dyDescent="0.25">
      <c r="A358">
        <v>174</v>
      </c>
      <c r="B358">
        <v>2</v>
      </c>
      <c r="C358" s="1">
        <v>1000000</v>
      </c>
      <c r="D358">
        <v>1</v>
      </c>
      <c r="E358">
        <v>0</v>
      </c>
      <c r="F358">
        <v>1</v>
      </c>
      <c r="G358">
        <v>5</v>
      </c>
      <c r="H358">
        <v>1</v>
      </c>
      <c r="I358">
        <v>0</v>
      </c>
      <c r="J358">
        <v>-1.76911851406343</v>
      </c>
      <c r="K358">
        <v>-1.69187947256154</v>
      </c>
      <c r="L358">
        <v>10.5963427173102</v>
      </c>
      <c r="M358">
        <v>67.637020362520502</v>
      </c>
      <c r="N358">
        <v>2.7486274000050002E-4</v>
      </c>
      <c r="O358">
        <v>4.1887902047864296</v>
      </c>
      <c r="P358">
        <v>-1.2336263832077501</v>
      </c>
      <c r="Q358">
        <v>9.9297090832098505</v>
      </c>
      <c r="R358">
        <v>12.5613019699733</v>
      </c>
      <c r="S358">
        <v>7.7758186294716998</v>
      </c>
      <c r="T358">
        <v>12.5461034359374</v>
      </c>
      <c r="U358">
        <v>-4.8561046517818202E-2</v>
      </c>
      <c r="V358">
        <v>1.0614104341038</v>
      </c>
      <c r="W358">
        <v>2</v>
      </c>
      <c r="X358">
        <v>-154.70838888667399</v>
      </c>
      <c r="Y358">
        <v>1</v>
      </c>
    </row>
    <row r="359" spans="1:25" x14ac:dyDescent="0.25">
      <c r="A359">
        <v>174</v>
      </c>
      <c r="B359">
        <v>2</v>
      </c>
      <c r="C359" s="1">
        <v>1000000</v>
      </c>
      <c r="D359">
        <v>1</v>
      </c>
      <c r="E359">
        <v>0</v>
      </c>
      <c r="F359">
        <v>1.0249999999999999</v>
      </c>
      <c r="G359">
        <v>5.0250000000000004</v>
      </c>
      <c r="H359">
        <v>1.0249999999999999</v>
      </c>
      <c r="I359">
        <v>0</v>
      </c>
      <c r="J359">
        <v>-1.67049417905293</v>
      </c>
      <c r="K359">
        <v>-1.61985279019773</v>
      </c>
      <c r="L359">
        <v>10.863890318886201</v>
      </c>
      <c r="M359">
        <v>67.860503808561006</v>
      </c>
      <c r="N359">
        <v>0.17403431107701101</v>
      </c>
      <c r="O359">
        <v>4.1887902054861303</v>
      </c>
      <c r="P359">
        <v>-1.1825606274475999</v>
      </c>
      <c r="Q359">
        <v>9.9011126654358392</v>
      </c>
      <c r="R359">
        <v>12.5613212715266</v>
      </c>
      <c r="S359">
        <v>7.7314320698635601</v>
      </c>
      <c r="T359">
        <v>12.5461805532266</v>
      </c>
      <c r="U359">
        <v>-0.16780287051808199</v>
      </c>
      <c r="V359">
        <v>1.0443256581310001</v>
      </c>
      <c r="W359">
        <v>2</v>
      </c>
      <c r="X359">
        <v>-159.996729952012</v>
      </c>
      <c r="Y359">
        <v>1</v>
      </c>
    </row>
    <row r="360" spans="1:25" x14ac:dyDescent="0.25">
      <c r="A360">
        <v>174</v>
      </c>
      <c r="B360">
        <v>2</v>
      </c>
      <c r="C360" s="1">
        <v>1000000</v>
      </c>
      <c r="D360">
        <v>1</v>
      </c>
      <c r="E360">
        <v>0</v>
      </c>
      <c r="F360">
        <v>1.05</v>
      </c>
      <c r="G360">
        <v>5.05</v>
      </c>
      <c r="H360">
        <v>1.05</v>
      </c>
      <c r="I360">
        <v>0</v>
      </c>
      <c r="J360">
        <v>-1.63477299666441</v>
      </c>
      <c r="K360">
        <v>-1.5524550387034901</v>
      </c>
      <c r="L360">
        <v>11.1255766990705</v>
      </c>
      <c r="M360">
        <v>68.080212188468806</v>
      </c>
      <c r="N360">
        <v>1.9630721255369998E-3</v>
      </c>
      <c r="O360">
        <v>4.1887902047864198</v>
      </c>
      <c r="P360">
        <v>-1.1343618881435</v>
      </c>
      <c r="Q360">
        <v>9.8727320386438695</v>
      </c>
      <c r="R360">
        <v>12.561321405873599</v>
      </c>
      <c r="S360">
        <v>7.6892403316378699</v>
      </c>
      <c r="T360">
        <v>12.5461810899541</v>
      </c>
      <c r="U360">
        <v>-0.16037928123123199</v>
      </c>
      <c r="V360">
        <v>1.0239345047928301</v>
      </c>
      <c r="W360">
        <v>2</v>
      </c>
      <c r="X360">
        <v>-165.79915674735199</v>
      </c>
      <c r="Y360">
        <v>1</v>
      </c>
    </row>
    <row r="361" spans="1:25" x14ac:dyDescent="0.25">
      <c r="A361">
        <v>174</v>
      </c>
      <c r="B361">
        <v>2</v>
      </c>
      <c r="C361" s="1">
        <v>1000000</v>
      </c>
      <c r="D361">
        <v>1</v>
      </c>
      <c r="E361">
        <v>0</v>
      </c>
      <c r="F361">
        <v>1.075</v>
      </c>
      <c r="G361">
        <v>5.0750000000000002</v>
      </c>
      <c r="H361">
        <v>1.075</v>
      </c>
      <c r="I361">
        <v>0</v>
      </c>
      <c r="J361">
        <v>-1.6014323586667101</v>
      </c>
      <c r="K361">
        <v>-1.48803582748764</v>
      </c>
      <c r="L361">
        <v>11.376115236236499</v>
      </c>
      <c r="M361">
        <v>68.283151495317497</v>
      </c>
      <c r="N361">
        <v>1.5876408188589E-2</v>
      </c>
      <c r="O361">
        <v>4.1887902047868204</v>
      </c>
      <c r="P361">
        <v>-1.0889208148745799</v>
      </c>
      <c r="Q361">
        <v>9.8416981139639805</v>
      </c>
      <c r="R361">
        <v>12.561321627151999</v>
      </c>
      <c r="S361">
        <v>7.6413887533123503</v>
      </c>
      <c r="T361">
        <v>12.5461819739935</v>
      </c>
      <c r="U361">
        <v>-0.15683259163249799</v>
      </c>
      <c r="V361">
        <v>1.00453098702957</v>
      </c>
      <c r="W361">
        <v>2</v>
      </c>
      <c r="X361">
        <v>-166.46083843447499</v>
      </c>
      <c r="Y361">
        <v>1</v>
      </c>
    </row>
    <row r="362" spans="1:25" x14ac:dyDescent="0.25">
      <c r="A362">
        <v>174</v>
      </c>
      <c r="B362">
        <v>2</v>
      </c>
      <c r="C362" s="1">
        <v>1000000</v>
      </c>
      <c r="D362">
        <v>1</v>
      </c>
      <c r="E362">
        <v>0</v>
      </c>
      <c r="F362">
        <v>1.1000000000000001</v>
      </c>
      <c r="G362">
        <v>5.0999999999999996</v>
      </c>
      <c r="H362">
        <v>1.1000000000000001</v>
      </c>
      <c r="I362">
        <v>0</v>
      </c>
      <c r="J362">
        <v>-1.51018625659516</v>
      </c>
      <c r="K362">
        <v>-1.42623217322452</v>
      </c>
      <c r="L362">
        <v>11.616530080019199</v>
      </c>
      <c r="M362">
        <v>68.481759486009196</v>
      </c>
      <c r="N362">
        <v>3.7936909280801498E-3</v>
      </c>
      <c r="O362">
        <v>4.1887902047864101</v>
      </c>
      <c r="P362">
        <v>-1.04422591873283</v>
      </c>
      <c r="Q362">
        <v>9.8138705876992898</v>
      </c>
      <c r="R362">
        <v>12.561321973644599</v>
      </c>
      <c r="S362">
        <v>7.5993633962092604</v>
      </c>
      <c r="T362">
        <v>12.546183358286701</v>
      </c>
      <c r="U362">
        <v>-0.14948951617053599</v>
      </c>
      <c r="V362">
        <v>0.98509178276950304</v>
      </c>
      <c r="W362">
        <v>2</v>
      </c>
      <c r="X362">
        <v>-156.87274947188101</v>
      </c>
      <c r="Y362">
        <v>1</v>
      </c>
    </row>
    <row r="363" spans="1:25" x14ac:dyDescent="0.25">
      <c r="A363">
        <v>174</v>
      </c>
      <c r="B363">
        <v>2</v>
      </c>
      <c r="C363" s="1">
        <v>1000000</v>
      </c>
      <c r="D363">
        <v>1</v>
      </c>
      <c r="E363">
        <v>0</v>
      </c>
      <c r="F363">
        <v>1.125</v>
      </c>
      <c r="G363">
        <v>5.125</v>
      </c>
      <c r="H363">
        <v>1.125</v>
      </c>
      <c r="I363">
        <v>0</v>
      </c>
      <c r="J363">
        <v>-1.3121286940544801</v>
      </c>
      <c r="K363">
        <v>-1.3635627962236401</v>
      </c>
      <c r="L363">
        <v>11.8466731642737</v>
      </c>
      <c r="M363">
        <v>68.662653315077904</v>
      </c>
      <c r="N363">
        <v>0.229620145476329</v>
      </c>
      <c r="O363">
        <v>4.1887902101199197</v>
      </c>
      <c r="P363">
        <v>-0.99942228634859298</v>
      </c>
      <c r="Q363">
        <v>9.7775060201249708</v>
      </c>
      <c r="R363">
        <v>12.561322328269901</v>
      </c>
      <c r="S363">
        <v>7.54985170016848</v>
      </c>
      <c r="T363">
        <v>12.5461847750827</v>
      </c>
      <c r="U363">
        <v>-0.14356097468524501</v>
      </c>
      <c r="V363">
        <v>0.96484487782147499</v>
      </c>
      <c r="W363">
        <v>2</v>
      </c>
      <c r="X363">
        <v>-168.01168678998999</v>
      </c>
      <c r="Y363">
        <v>1</v>
      </c>
    </row>
    <row r="364" spans="1:25" x14ac:dyDescent="0.25">
      <c r="A364">
        <v>174</v>
      </c>
      <c r="B364">
        <v>2</v>
      </c>
      <c r="C364" s="1">
        <v>1000000</v>
      </c>
      <c r="D364">
        <v>1</v>
      </c>
      <c r="E364">
        <v>0</v>
      </c>
      <c r="F364">
        <v>1.1499999999999999</v>
      </c>
      <c r="G364">
        <v>5.15</v>
      </c>
      <c r="H364">
        <v>1.1499999999999999</v>
      </c>
      <c r="I364">
        <v>0</v>
      </c>
      <c r="J364">
        <v>-1.3388121777903601</v>
      </c>
      <c r="K364">
        <v>-1.3087659204729001</v>
      </c>
      <c r="L364">
        <v>12.0689830701075</v>
      </c>
      <c r="M364">
        <v>68.856616851066505</v>
      </c>
      <c r="N364">
        <v>2.0153706053385099E-2</v>
      </c>
      <c r="O364">
        <v>4.1887902047848398</v>
      </c>
      <c r="P364">
        <v>-0.95768263769303796</v>
      </c>
      <c r="Q364">
        <v>9.7592899579643699</v>
      </c>
      <c r="R364">
        <v>12.561322987179899</v>
      </c>
      <c r="S364">
        <v>7.5213801907433098</v>
      </c>
      <c r="T364">
        <v>12.5461874075331</v>
      </c>
      <c r="U364">
        <v>-0.13965762149560801</v>
      </c>
      <c r="V364">
        <v>0.94594042360585795</v>
      </c>
      <c r="W364">
        <v>2</v>
      </c>
      <c r="X364">
        <v>-163.423171544582</v>
      </c>
      <c r="Y364">
        <v>1</v>
      </c>
    </row>
    <row r="365" spans="1:25" x14ac:dyDescent="0.25">
      <c r="A365">
        <v>174</v>
      </c>
      <c r="B365">
        <v>2</v>
      </c>
      <c r="C365" s="1">
        <v>1000000</v>
      </c>
      <c r="D365">
        <v>1</v>
      </c>
      <c r="E365">
        <v>0</v>
      </c>
      <c r="F365">
        <v>1.175</v>
      </c>
      <c r="G365">
        <v>5.1749999999999998</v>
      </c>
      <c r="H365">
        <v>1.175</v>
      </c>
      <c r="I365">
        <v>0</v>
      </c>
      <c r="J365">
        <v>-1.32791840821386</v>
      </c>
      <c r="K365">
        <v>-1.28050181819592</v>
      </c>
      <c r="L365">
        <v>12.268986907560301</v>
      </c>
      <c r="M365">
        <v>69.197539737248704</v>
      </c>
      <c r="N365">
        <v>0.36645736213774199</v>
      </c>
      <c r="O365">
        <v>4.1887906760895097</v>
      </c>
      <c r="P365">
        <v>-0.91587907425822801</v>
      </c>
      <c r="Q365">
        <v>9.8274532890891297</v>
      </c>
      <c r="R365">
        <v>12.5613244671827</v>
      </c>
      <c r="S365">
        <v>7.6630002988619603</v>
      </c>
      <c r="T365">
        <v>12.5461933204129</v>
      </c>
      <c r="U365">
        <v>-0.33553152103588502</v>
      </c>
      <c r="V365">
        <v>0.92837121479148899</v>
      </c>
      <c r="W365">
        <v>2</v>
      </c>
      <c r="X365">
        <v>-158.50149103944401</v>
      </c>
      <c r="Y365">
        <v>1</v>
      </c>
    </row>
    <row r="366" spans="1:25" x14ac:dyDescent="0.25">
      <c r="A366">
        <v>174</v>
      </c>
      <c r="B366">
        <v>2</v>
      </c>
      <c r="C366" s="1">
        <v>1000000</v>
      </c>
      <c r="D366">
        <v>1</v>
      </c>
      <c r="E366">
        <v>0</v>
      </c>
      <c r="F366">
        <v>1.2</v>
      </c>
      <c r="G366">
        <v>5.2</v>
      </c>
      <c r="H366">
        <v>1.2</v>
      </c>
      <c r="I366">
        <v>0</v>
      </c>
      <c r="J366">
        <v>-1.2756545727364601</v>
      </c>
      <c r="K366">
        <v>-1.2257561337759599</v>
      </c>
      <c r="L366">
        <v>12.4738131486084</v>
      </c>
      <c r="M366">
        <v>69.367236757972606</v>
      </c>
      <c r="N366">
        <v>0.32920881118808498</v>
      </c>
      <c r="O366">
        <v>4.1887904211642502</v>
      </c>
      <c r="P366">
        <v>-0.87534375776538198</v>
      </c>
      <c r="Q366">
        <v>9.8039445202923901</v>
      </c>
      <c r="R366">
        <v>12.5613245712705</v>
      </c>
      <c r="S366">
        <v>7.6277023923765199</v>
      </c>
      <c r="T366">
        <v>12.5461937362622</v>
      </c>
      <c r="U366">
        <v>-0.39198975786412699</v>
      </c>
      <c r="V366">
        <v>0.90728245231378701</v>
      </c>
      <c r="W366">
        <v>2</v>
      </c>
      <c r="X366">
        <v>-159.26344678249399</v>
      </c>
      <c r="Y366">
        <v>1</v>
      </c>
    </row>
    <row r="367" spans="1:25" x14ac:dyDescent="0.25">
      <c r="A367">
        <v>174</v>
      </c>
      <c r="B367">
        <v>2</v>
      </c>
      <c r="C367" s="1">
        <v>1000000</v>
      </c>
      <c r="D367">
        <v>1</v>
      </c>
      <c r="E367">
        <v>0</v>
      </c>
      <c r="F367">
        <v>1.2250000000000001</v>
      </c>
      <c r="G367">
        <v>5.2249999999999996</v>
      </c>
      <c r="H367">
        <v>1.2250000000000001</v>
      </c>
      <c r="I367">
        <v>0</v>
      </c>
      <c r="J367">
        <v>-1.2249596838210901</v>
      </c>
      <c r="K367">
        <v>-1.1697814191643101</v>
      </c>
      <c r="L367">
        <v>12.6711029143327</v>
      </c>
      <c r="M367">
        <v>69.511647308982901</v>
      </c>
      <c r="N367">
        <v>0.336337320991549</v>
      </c>
      <c r="O367">
        <v>4.1887905307758304</v>
      </c>
      <c r="P367">
        <v>-0.835551612182165</v>
      </c>
      <c r="Q367">
        <v>9.7675503982243406</v>
      </c>
      <c r="R367">
        <v>12.561324564208601</v>
      </c>
      <c r="S367">
        <v>7.5745965901018497</v>
      </c>
      <c r="T367">
        <v>12.546193708048399</v>
      </c>
      <c r="U367">
        <v>-0.44015727536800298</v>
      </c>
      <c r="V367">
        <v>0.88974515999828296</v>
      </c>
      <c r="W367">
        <v>2</v>
      </c>
      <c r="X367">
        <v>-159.66437214770801</v>
      </c>
      <c r="Y367">
        <v>1</v>
      </c>
    </row>
    <row r="368" spans="1:25" x14ac:dyDescent="0.25">
      <c r="A368">
        <v>174</v>
      </c>
      <c r="B368">
        <v>2</v>
      </c>
      <c r="C368" s="1">
        <v>1000000</v>
      </c>
      <c r="D368">
        <v>1</v>
      </c>
      <c r="E368">
        <v>0</v>
      </c>
      <c r="F368">
        <v>1.25</v>
      </c>
      <c r="G368">
        <v>5.25</v>
      </c>
      <c r="H368">
        <v>1.25</v>
      </c>
      <c r="I368">
        <v>0</v>
      </c>
      <c r="J368">
        <v>-1.1762966781281801</v>
      </c>
      <c r="K368">
        <v>-1.1124504841288401</v>
      </c>
      <c r="L368">
        <v>12.8644589512212</v>
      </c>
      <c r="M368">
        <v>69.658795093531893</v>
      </c>
      <c r="N368">
        <v>2.1221578442438098E-3</v>
      </c>
      <c r="O368">
        <v>4.1887902047864003</v>
      </c>
      <c r="P368">
        <v>-0.79315063367878502</v>
      </c>
      <c r="Q368">
        <v>9.7442139386154007</v>
      </c>
      <c r="R368">
        <v>12.5613246055744</v>
      </c>
      <c r="S368">
        <v>7.5284373163682003</v>
      </c>
      <c r="T368">
        <v>12.5461938733123</v>
      </c>
      <c r="U368">
        <v>-0.55839449113564998</v>
      </c>
      <c r="V368">
        <v>0.87051930185692605</v>
      </c>
      <c r="W368">
        <v>2</v>
      </c>
      <c r="X368">
        <v>-171.11879177727999</v>
      </c>
      <c r="Y368">
        <v>1</v>
      </c>
    </row>
    <row r="369" spans="1:25" x14ac:dyDescent="0.25">
      <c r="A369">
        <v>174</v>
      </c>
      <c r="B369">
        <v>2</v>
      </c>
      <c r="C369" s="1">
        <v>1000000</v>
      </c>
      <c r="D369">
        <v>1</v>
      </c>
      <c r="E369">
        <v>0</v>
      </c>
      <c r="F369">
        <v>1.2749999999999999</v>
      </c>
      <c r="G369">
        <v>5.2750000000000004</v>
      </c>
      <c r="H369">
        <v>1.2749999999999999</v>
      </c>
      <c r="I369">
        <v>0</v>
      </c>
      <c r="J369">
        <v>-0.119214467135796</v>
      </c>
      <c r="K369">
        <v>0</v>
      </c>
      <c r="L369">
        <v>14.9270323456791</v>
      </c>
      <c r="M369">
        <v>64.252079688776007</v>
      </c>
      <c r="N369">
        <v>1.9813660572399501E-4</v>
      </c>
      <c r="O369">
        <v>4.1887902047863497</v>
      </c>
      <c r="P369">
        <v>0.44857047656918803</v>
      </c>
      <c r="Q369">
        <v>2.30451229548245</v>
      </c>
      <c r="R369">
        <v>12.561324623545101</v>
      </c>
      <c r="S369">
        <v>1.9202740289246099E-2</v>
      </c>
      <c r="T369">
        <v>12.5461939451086</v>
      </c>
      <c r="U369">
        <v>-3.22819977309043E-3</v>
      </c>
      <c r="V369">
        <v>1.72777959445712E-4</v>
      </c>
      <c r="W369">
        <v>2</v>
      </c>
      <c r="X369">
        <v>149.49981886642701</v>
      </c>
      <c r="Y369">
        <v>1</v>
      </c>
    </row>
    <row r="370" spans="1:25" x14ac:dyDescent="0.25">
      <c r="A370">
        <v>174</v>
      </c>
      <c r="B370">
        <v>2</v>
      </c>
      <c r="C370" s="1">
        <v>1000000</v>
      </c>
      <c r="D370">
        <v>1</v>
      </c>
      <c r="E370">
        <v>0</v>
      </c>
      <c r="F370">
        <v>1.3</v>
      </c>
      <c r="G370">
        <v>5.3</v>
      </c>
      <c r="H370">
        <v>1.3</v>
      </c>
      <c r="I370">
        <v>0</v>
      </c>
      <c r="J370">
        <v>7.0257203026218296E-2</v>
      </c>
      <c r="K370">
        <v>0</v>
      </c>
      <c r="L370">
        <v>15.114596294539799</v>
      </c>
      <c r="M370">
        <v>64.419234447520196</v>
      </c>
      <c r="N370">
        <v>8.9817629149168202E-3</v>
      </c>
      <c r="O370">
        <v>4.1887902082532404</v>
      </c>
      <c r="P370">
        <v>0.35870183775742398</v>
      </c>
      <c r="Q370">
        <v>0.15235547751758099</v>
      </c>
      <c r="R370">
        <v>12.5613246267989</v>
      </c>
      <c r="S370" s="1">
        <v>1.9413858944477599E-5</v>
      </c>
      <c r="T370">
        <v>12.5461939581082</v>
      </c>
      <c r="U370">
        <v>-7.3737779991320196E-2</v>
      </c>
      <c r="V370">
        <v>1.4837067132659999E-4</v>
      </c>
      <c r="W370">
        <v>2</v>
      </c>
      <c r="X370">
        <v>152.877065083036</v>
      </c>
      <c r="Y370">
        <v>1</v>
      </c>
    </row>
    <row r="371" spans="1:25" x14ac:dyDescent="0.25">
      <c r="A371">
        <v>179</v>
      </c>
      <c r="B371">
        <v>2</v>
      </c>
      <c r="C371" s="1">
        <v>1000000</v>
      </c>
      <c r="D371">
        <v>1</v>
      </c>
      <c r="E371">
        <v>0</v>
      </c>
      <c r="F371">
        <v>0.3</v>
      </c>
      <c r="G371">
        <v>4.3</v>
      </c>
      <c r="H371">
        <v>0.3</v>
      </c>
      <c r="I371">
        <v>0</v>
      </c>
      <c r="J371">
        <v>-6.1178383677577601</v>
      </c>
      <c r="K371">
        <v>-5.9654841032934103</v>
      </c>
      <c r="L371">
        <v>-9.8369283745805394</v>
      </c>
      <c r="M371">
        <v>57.221961096459701</v>
      </c>
      <c r="N371">
        <v>1.82274931512512E-3</v>
      </c>
      <c r="O371">
        <v>4.1887902047864101</v>
      </c>
      <c r="P371">
        <v>-2.09649327662164</v>
      </c>
      <c r="Q371">
        <v>14.976614541698501</v>
      </c>
      <c r="R371">
        <v>12.5613239956102</v>
      </c>
      <c r="S371">
        <v>17.753867622208301</v>
      </c>
      <c r="T371">
        <v>12.5461914364028</v>
      </c>
      <c r="U371">
        <v>7.4218105284250602E-2</v>
      </c>
      <c r="V371">
        <v>2</v>
      </c>
      <c r="W371">
        <v>2.4129499999999999</v>
      </c>
      <c r="X371">
        <v>69.763726029816496</v>
      </c>
      <c r="Y371">
        <v>1</v>
      </c>
    </row>
    <row r="372" spans="1:25" x14ac:dyDescent="0.25">
      <c r="A372">
        <v>179</v>
      </c>
      <c r="B372">
        <v>2</v>
      </c>
      <c r="C372" s="1">
        <v>1000000</v>
      </c>
      <c r="D372">
        <v>1</v>
      </c>
      <c r="E372">
        <v>0</v>
      </c>
      <c r="F372">
        <v>0.32500000000000001</v>
      </c>
      <c r="G372">
        <v>4.3250000000000002</v>
      </c>
      <c r="H372">
        <v>0.32500000000000001</v>
      </c>
      <c r="I372">
        <v>0</v>
      </c>
      <c r="J372">
        <v>-9.4918052301460207</v>
      </c>
      <c r="K372">
        <v>-9.2842968236918306</v>
      </c>
      <c r="L372">
        <v>-8.6113336051393805</v>
      </c>
      <c r="M372">
        <v>56.1513713422598</v>
      </c>
      <c r="N372">
        <v>3.0328252942583502E-3</v>
      </c>
      <c r="O372">
        <v>4.1887902047864998</v>
      </c>
      <c r="P372">
        <v>-3.7580458211167498</v>
      </c>
      <c r="Q372">
        <v>14.0691871587844</v>
      </c>
      <c r="R372">
        <v>12.5613207932027</v>
      </c>
      <c r="S372">
        <v>15.457346446168501</v>
      </c>
      <c r="T372">
        <v>12.5461786420782</v>
      </c>
      <c r="U372">
        <v>8.4833789670277507E-2</v>
      </c>
      <c r="V372">
        <v>1.98112392757044</v>
      </c>
      <c r="W372">
        <v>2.3162799999999999</v>
      </c>
      <c r="X372">
        <v>104.138674680278</v>
      </c>
      <c r="Y372">
        <v>1</v>
      </c>
    </row>
    <row r="373" spans="1:25" x14ac:dyDescent="0.25">
      <c r="A373">
        <v>179</v>
      </c>
      <c r="B373">
        <v>2</v>
      </c>
      <c r="C373" s="1">
        <v>1000000</v>
      </c>
      <c r="D373">
        <v>1</v>
      </c>
      <c r="E373">
        <v>0</v>
      </c>
      <c r="F373">
        <v>0.35</v>
      </c>
      <c r="G373">
        <v>4.3499999999999996</v>
      </c>
      <c r="H373">
        <v>0.35</v>
      </c>
      <c r="I373">
        <v>0</v>
      </c>
      <c r="J373">
        <v>-10.742177891775</v>
      </c>
      <c r="K373">
        <v>-10.466143861811201</v>
      </c>
      <c r="L373">
        <v>-6.9946986574585202</v>
      </c>
      <c r="M373">
        <v>55.973665481048599</v>
      </c>
      <c r="N373">
        <v>8.5181531706961904E-3</v>
      </c>
      <c r="O373">
        <v>4.1887902047851799</v>
      </c>
      <c r="P373">
        <v>-4.7963113114576004</v>
      </c>
      <c r="Q373">
        <v>13.130077291399701</v>
      </c>
      <c r="R373">
        <v>12.5612769191855</v>
      </c>
      <c r="S373">
        <v>13.6629100228281</v>
      </c>
      <c r="T373">
        <v>12.5460033611648</v>
      </c>
      <c r="U373">
        <v>9.5684853178268497E-2</v>
      </c>
      <c r="V373">
        <v>1.9142386223341199</v>
      </c>
      <c r="W373">
        <v>2.1181399999999999</v>
      </c>
      <c r="X373">
        <v>136.51341524554499</v>
      </c>
      <c r="Y373">
        <v>1</v>
      </c>
    </row>
    <row r="374" spans="1:25" x14ac:dyDescent="0.25">
      <c r="A374">
        <v>179</v>
      </c>
      <c r="B374">
        <v>2</v>
      </c>
      <c r="C374" s="1">
        <v>1000000</v>
      </c>
      <c r="D374">
        <v>1</v>
      </c>
      <c r="E374">
        <v>0</v>
      </c>
      <c r="F374">
        <v>0.375</v>
      </c>
      <c r="G374">
        <v>4.375</v>
      </c>
      <c r="H374">
        <v>0.375</v>
      </c>
      <c r="I374">
        <v>0</v>
      </c>
      <c r="J374">
        <v>-10.158783480085001</v>
      </c>
      <c r="K374">
        <v>-9.9137470338487308</v>
      </c>
      <c r="L374">
        <v>-5.3507729697310999</v>
      </c>
      <c r="M374">
        <v>56.673820228944898</v>
      </c>
      <c r="N374">
        <v>1.3339523784328001E-2</v>
      </c>
      <c r="O374">
        <v>4.1887902047864598</v>
      </c>
      <c r="P374">
        <v>-4.8798795296228903</v>
      </c>
      <c r="Q374">
        <v>12.671878196538101</v>
      </c>
      <c r="R374">
        <v>12.561196220989601</v>
      </c>
      <c r="S374">
        <v>12.719321154709</v>
      </c>
      <c r="T374">
        <v>12.545680901745101</v>
      </c>
      <c r="U374">
        <v>0.123353198649161</v>
      </c>
      <c r="V374">
        <v>1.8432707798595001</v>
      </c>
      <c r="W374">
        <v>2.0379700000000001</v>
      </c>
      <c r="X374">
        <v>160.59819018728601</v>
      </c>
      <c r="Y374">
        <v>1</v>
      </c>
    </row>
    <row r="375" spans="1:25" x14ac:dyDescent="0.25">
      <c r="A375">
        <v>179</v>
      </c>
      <c r="B375">
        <v>2</v>
      </c>
      <c r="C375" s="1">
        <v>1000000</v>
      </c>
      <c r="D375">
        <v>1</v>
      </c>
      <c r="E375">
        <v>0</v>
      </c>
      <c r="F375">
        <v>0.4</v>
      </c>
      <c r="G375">
        <v>4.4000000000000004</v>
      </c>
      <c r="H375">
        <v>0.4</v>
      </c>
      <c r="I375">
        <v>0</v>
      </c>
      <c r="J375">
        <v>-9.0690565508423795</v>
      </c>
      <c r="K375">
        <v>-8.8308177693494692</v>
      </c>
      <c r="L375">
        <v>-3.8437308072202598</v>
      </c>
      <c r="M375">
        <v>57.509518268422603</v>
      </c>
      <c r="N375">
        <v>5.1402485210577603E-3</v>
      </c>
      <c r="O375">
        <v>4.1887902047844703</v>
      </c>
      <c r="P375">
        <v>-4.5875988813503996</v>
      </c>
      <c r="Q375">
        <v>12.3366188761974</v>
      </c>
      <c r="R375">
        <v>12.5612228386585</v>
      </c>
      <c r="S375">
        <v>12.047775361693899</v>
      </c>
      <c r="T375">
        <v>12.5457872430107</v>
      </c>
      <c r="U375">
        <v>0.147884822228042</v>
      </c>
      <c r="V375">
        <v>1.7769818876255501</v>
      </c>
      <c r="W375">
        <v>2</v>
      </c>
      <c r="X375">
        <v>113.369850641931</v>
      </c>
      <c r="Y375">
        <v>1</v>
      </c>
    </row>
    <row r="376" spans="1:25" x14ac:dyDescent="0.25">
      <c r="A376">
        <v>179</v>
      </c>
      <c r="B376">
        <v>2</v>
      </c>
      <c r="C376" s="1">
        <v>1000000</v>
      </c>
      <c r="D376">
        <v>1</v>
      </c>
      <c r="E376">
        <v>0</v>
      </c>
      <c r="F376">
        <v>0.42499999999999999</v>
      </c>
      <c r="G376">
        <v>4.4249999999999998</v>
      </c>
      <c r="H376">
        <v>0.42499999999999999</v>
      </c>
      <c r="I376">
        <v>0</v>
      </c>
      <c r="J376">
        <v>-8.01619536549922</v>
      </c>
      <c r="K376">
        <v>-7.8111462330557497</v>
      </c>
      <c r="L376">
        <v>-2.50951437622086</v>
      </c>
      <c r="M376">
        <v>58.366310485576598</v>
      </c>
      <c r="N376">
        <v>3.3423935498254E-3</v>
      </c>
      <c r="O376">
        <v>4.1887902047864403</v>
      </c>
      <c r="P376">
        <v>-4.2235414278507397</v>
      </c>
      <c r="Q376">
        <v>12.0845364359248</v>
      </c>
      <c r="R376">
        <v>12.561198466762599</v>
      </c>
      <c r="S376">
        <v>11.570378990492999</v>
      </c>
      <c r="T376">
        <v>12.545689853206699</v>
      </c>
      <c r="U376">
        <v>0.15592963258571699</v>
      </c>
      <c r="V376">
        <v>1.71706428295914</v>
      </c>
      <c r="W376">
        <v>2</v>
      </c>
      <c r="X376">
        <v>-86.582380094400705</v>
      </c>
      <c r="Y376">
        <v>1</v>
      </c>
    </row>
    <row r="377" spans="1:25" x14ac:dyDescent="0.25">
      <c r="A377">
        <v>179</v>
      </c>
      <c r="B377">
        <v>2</v>
      </c>
      <c r="C377" s="1">
        <v>1000000</v>
      </c>
      <c r="D377">
        <v>1</v>
      </c>
      <c r="E377">
        <v>0</v>
      </c>
      <c r="F377">
        <v>0.45</v>
      </c>
      <c r="G377">
        <v>4.45</v>
      </c>
      <c r="H377">
        <v>0.45</v>
      </c>
      <c r="I377">
        <v>0</v>
      </c>
      <c r="J377">
        <v>-7.13412624387042</v>
      </c>
      <c r="K377">
        <v>-6.9698224829852</v>
      </c>
      <c r="L377">
        <v>-1.33122518242401</v>
      </c>
      <c r="M377">
        <v>59.206839943396702</v>
      </c>
      <c r="N377">
        <v>6.4010223415052095E-2</v>
      </c>
      <c r="O377">
        <v>4.1887902080555897</v>
      </c>
      <c r="P377">
        <v>-3.88029847598321</v>
      </c>
      <c r="Q377">
        <v>11.894579039871299</v>
      </c>
      <c r="R377">
        <v>12.5612374449094</v>
      </c>
      <c r="S377">
        <v>11.232408398659199</v>
      </c>
      <c r="T377">
        <v>12.545845617984799</v>
      </c>
      <c r="U377">
        <v>0.16349750372510199</v>
      </c>
      <c r="V377">
        <v>1.6719396216987299</v>
      </c>
      <c r="W377">
        <v>2</v>
      </c>
      <c r="X377">
        <v>-167.78823948290099</v>
      </c>
      <c r="Y377">
        <v>1</v>
      </c>
    </row>
    <row r="378" spans="1:25" x14ac:dyDescent="0.25">
      <c r="A378">
        <v>179</v>
      </c>
      <c r="B378">
        <v>2</v>
      </c>
      <c r="C378" s="1">
        <v>1000000</v>
      </c>
      <c r="D378">
        <v>1</v>
      </c>
      <c r="E378">
        <v>0</v>
      </c>
      <c r="F378">
        <v>0.47499999999999998</v>
      </c>
      <c r="G378">
        <v>4.4749999999999996</v>
      </c>
      <c r="H378">
        <v>0.47499999999999998</v>
      </c>
      <c r="I378">
        <v>0</v>
      </c>
      <c r="J378">
        <v>-6.40539936304544</v>
      </c>
      <c r="K378">
        <v>-6.2426369301895797</v>
      </c>
      <c r="L378">
        <v>-0.270232384311413</v>
      </c>
      <c r="M378">
        <v>59.929687067954397</v>
      </c>
      <c r="N378">
        <v>3.3645972836953298E-3</v>
      </c>
      <c r="O378">
        <v>4.18879020478645</v>
      </c>
      <c r="P378">
        <v>-3.5817050511130599</v>
      </c>
      <c r="Q378">
        <v>11.718182353559801</v>
      </c>
      <c r="R378">
        <v>12.561289060712699</v>
      </c>
      <c r="S378">
        <v>10.8940109807639</v>
      </c>
      <c r="T378">
        <v>12.546051860114799</v>
      </c>
      <c r="U378">
        <v>0.18862825446669701</v>
      </c>
      <c r="V378">
        <v>1.6278995555450899</v>
      </c>
      <c r="W378">
        <v>2</v>
      </c>
      <c r="X378">
        <v>-163.90131152600401</v>
      </c>
      <c r="Y378">
        <v>1</v>
      </c>
    </row>
    <row r="379" spans="1:25" x14ac:dyDescent="0.25">
      <c r="A379">
        <v>179</v>
      </c>
      <c r="B379">
        <v>2</v>
      </c>
      <c r="C379" s="1">
        <v>1000000</v>
      </c>
      <c r="D379">
        <v>1</v>
      </c>
      <c r="E379">
        <v>0</v>
      </c>
      <c r="F379">
        <v>0.5</v>
      </c>
      <c r="G379">
        <v>4.5</v>
      </c>
      <c r="H379">
        <v>0.5</v>
      </c>
      <c r="I379">
        <v>0</v>
      </c>
      <c r="J379">
        <v>-5.8718483311632097</v>
      </c>
      <c r="K379">
        <v>-5.6334501277137496</v>
      </c>
      <c r="L379">
        <v>0.68688383871233605</v>
      </c>
      <c r="M379">
        <v>60.586323324210198</v>
      </c>
      <c r="N379">
        <v>4.8628288636936703E-2</v>
      </c>
      <c r="O379">
        <v>4.1887902047864296</v>
      </c>
      <c r="P379">
        <v>-3.3222749943580498</v>
      </c>
      <c r="Q379">
        <v>11.556663862272501</v>
      </c>
      <c r="R379">
        <v>12.561302534709499</v>
      </c>
      <c r="S379">
        <v>10.5934395967114</v>
      </c>
      <c r="T379">
        <v>12.5461056949117</v>
      </c>
      <c r="U379">
        <v>0.21080771774128301</v>
      </c>
      <c r="V379">
        <v>1.58796211554038</v>
      </c>
      <c r="W379">
        <v>2</v>
      </c>
      <c r="X379">
        <v>-161.28714999436801</v>
      </c>
      <c r="Y379">
        <v>1</v>
      </c>
    </row>
    <row r="380" spans="1:25" x14ac:dyDescent="0.25">
      <c r="A380">
        <v>179</v>
      </c>
      <c r="B380">
        <v>2</v>
      </c>
      <c r="C380" s="1">
        <v>1000000</v>
      </c>
      <c r="D380">
        <v>1</v>
      </c>
      <c r="E380">
        <v>0</v>
      </c>
      <c r="F380">
        <v>0.52500000000000002</v>
      </c>
      <c r="G380">
        <v>4.5250000000000004</v>
      </c>
      <c r="H380">
        <v>0.52500000000000002</v>
      </c>
      <c r="I380">
        <v>0</v>
      </c>
      <c r="J380">
        <v>-5.2341518680415904</v>
      </c>
      <c r="K380">
        <v>-5.1301001748962296</v>
      </c>
      <c r="L380">
        <v>1.5571582410271301</v>
      </c>
      <c r="M380">
        <v>61.205939041303999</v>
      </c>
      <c r="N380">
        <v>8.1132163586215902E-3</v>
      </c>
      <c r="O380">
        <v>4.1887902047864296</v>
      </c>
      <c r="P380">
        <v>-3.0972541658757198</v>
      </c>
      <c r="Q380">
        <v>11.4202942254005</v>
      </c>
      <c r="R380">
        <v>12.561307387063801</v>
      </c>
      <c r="S380">
        <v>10.342728336521599</v>
      </c>
      <c r="T380">
        <v>12.5461250818263</v>
      </c>
      <c r="U380">
        <v>0.229987002623492</v>
      </c>
      <c r="V380">
        <v>1.5514170366903</v>
      </c>
      <c r="W380">
        <v>2</v>
      </c>
      <c r="X380">
        <v>-159.53309636924101</v>
      </c>
      <c r="Y380">
        <v>1</v>
      </c>
    </row>
    <row r="381" spans="1:25" x14ac:dyDescent="0.25">
      <c r="A381">
        <v>179</v>
      </c>
      <c r="B381">
        <v>2</v>
      </c>
      <c r="C381" s="1">
        <v>1000000</v>
      </c>
      <c r="D381">
        <v>1</v>
      </c>
      <c r="E381">
        <v>0</v>
      </c>
      <c r="F381">
        <v>0.55000000000000004</v>
      </c>
      <c r="G381">
        <v>4.55</v>
      </c>
      <c r="H381">
        <v>0.55000000000000004</v>
      </c>
      <c r="I381">
        <v>0</v>
      </c>
      <c r="J381">
        <v>-4.8711362816607604</v>
      </c>
      <c r="K381">
        <v>-4.6979374522053297</v>
      </c>
      <c r="L381">
        <v>2.3532396619540199</v>
      </c>
      <c r="M381">
        <v>61.771385722015197</v>
      </c>
      <c r="N381">
        <v>0.13050596584809601</v>
      </c>
      <c r="O381">
        <v>4.1887902058393003</v>
      </c>
      <c r="P381">
        <v>-2.8995613448033399</v>
      </c>
      <c r="Q381">
        <v>11.290555723881999</v>
      </c>
      <c r="R381">
        <v>12.5612705291565</v>
      </c>
      <c r="S381">
        <v>10.112206889121</v>
      </c>
      <c r="T381">
        <v>12.5459778157307</v>
      </c>
      <c r="U381">
        <v>0.26788567597940099</v>
      </c>
      <c r="V381">
        <v>1.51516131610741</v>
      </c>
      <c r="W381">
        <v>2</v>
      </c>
      <c r="X381">
        <v>-158.491641518123</v>
      </c>
      <c r="Y381">
        <v>1</v>
      </c>
    </row>
    <row r="382" spans="1:25" x14ac:dyDescent="0.25">
      <c r="A382">
        <v>179</v>
      </c>
      <c r="B382">
        <v>2</v>
      </c>
      <c r="C382" s="1">
        <v>1000000</v>
      </c>
      <c r="D382">
        <v>1</v>
      </c>
      <c r="E382">
        <v>0</v>
      </c>
      <c r="F382">
        <v>0.57499999999999996</v>
      </c>
      <c r="G382">
        <v>4.5750000000000002</v>
      </c>
      <c r="H382">
        <v>0.57499999999999996</v>
      </c>
      <c r="I382">
        <v>0</v>
      </c>
      <c r="J382">
        <v>-4.5852481682848598</v>
      </c>
      <c r="K382">
        <v>-4.3285175820253601</v>
      </c>
      <c r="L382">
        <v>3.0874506922553202</v>
      </c>
      <c r="M382">
        <v>62.300866295376203</v>
      </c>
      <c r="N382">
        <v>0.21704814103013301</v>
      </c>
      <c r="O382">
        <v>4.1887902053725599</v>
      </c>
      <c r="P382">
        <v>-2.7254014408021101</v>
      </c>
      <c r="Q382">
        <v>11.1801801141998</v>
      </c>
      <c r="R382">
        <v>12.561273515313401</v>
      </c>
      <c r="S382">
        <v>9.9074421190253599</v>
      </c>
      <c r="T382">
        <v>12.545989746249401</v>
      </c>
      <c r="U382">
        <v>0.28463506586058002</v>
      </c>
      <c r="V382">
        <v>1.48215003022603</v>
      </c>
      <c r="W382">
        <v>2</v>
      </c>
      <c r="X382">
        <v>-157.75603194395001</v>
      </c>
      <c r="Y382">
        <v>1</v>
      </c>
    </row>
    <row r="383" spans="1:25" x14ac:dyDescent="0.25">
      <c r="A383">
        <v>179</v>
      </c>
      <c r="B383">
        <v>2</v>
      </c>
      <c r="C383" s="1">
        <v>1000000</v>
      </c>
      <c r="D383">
        <v>1</v>
      </c>
      <c r="E383">
        <v>0</v>
      </c>
      <c r="F383">
        <v>0.6</v>
      </c>
      <c r="G383">
        <v>4.5999999999999996</v>
      </c>
      <c r="H383">
        <v>0.6</v>
      </c>
      <c r="I383">
        <v>0</v>
      </c>
      <c r="J383">
        <v>-4.1739952341555497</v>
      </c>
      <c r="K383">
        <v>-4.0050914092099301</v>
      </c>
      <c r="L383">
        <v>3.7676330773047599</v>
      </c>
      <c r="M383">
        <v>62.787234395408497</v>
      </c>
      <c r="N383">
        <v>2.0371362511603501E-3</v>
      </c>
      <c r="O383">
        <v>4.1887902047864296</v>
      </c>
      <c r="P383">
        <v>-2.5707911986963299</v>
      </c>
      <c r="Q383">
        <v>11.0684291255335</v>
      </c>
      <c r="R383">
        <v>12.561282899708299</v>
      </c>
      <c r="S383">
        <v>9.7135701978446196</v>
      </c>
      <c r="T383">
        <v>12.546027241316301</v>
      </c>
      <c r="U383">
        <v>0.30803682152113099</v>
      </c>
      <c r="V383">
        <v>1.4508183695097501</v>
      </c>
      <c r="W383">
        <v>2</v>
      </c>
      <c r="X383">
        <v>-157.37629375132801</v>
      </c>
      <c r="Y383">
        <v>1</v>
      </c>
    </row>
    <row r="384" spans="1:25" x14ac:dyDescent="0.25">
      <c r="A384">
        <v>179</v>
      </c>
      <c r="B384">
        <v>2</v>
      </c>
      <c r="C384" s="1">
        <v>1000000</v>
      </c>
      <c r="D384">
        <v>1</v>
      </c>
      <c r="E384">
        <v>0</v>
      </c>
      <c r="F384">
        <v>0.625</v>
      </c>
      <c r="G384">
        <v>4.625</v>
      </c>
      <c r="H384">
        <v>0.625</v>
      </c>
      <c r="I384">
        <v>0</v>
      </c>
      <c r="J384">
        <v>-3.8937611887021699</v>
      </c>
      <c r="K384">
        <v>-3.7222061468956298</v>
      </c>
      <c r="L384">
        <v>4.3998979451861704</v>
      </c>
      <c r="M384">
        <v>63.249993974180697</v>
      </c>
      <c r="N384">
        <v>4.1213916562861004E-3</v>
      </c>
      <c r="O384">
        <v>4.1887902047864198</v>
      </c>
      <c r="P384">
        <v>-2.43038319584074</v>
      </c>
      <c r="Q384">
        <v>10.974308243366</v>
      </c>
      <c r="R384">
        <v>12.561272788073399</v>
      </c>
      <c r="S384">
        <v>9.5440846218543705</v>
      </c>
      <c r="T384">
        <v>12.5459868387128</v>
      </c>
      <c r="U384">
        <v>0.30467940249940101</v>
      </c>
      <c r="V384">
        <v>1.4203991652825301</v>
      </c>
      <c r="W384">
        <v>2</v>
      </c>
      <c r="X384">
        <v>-157.25520626351101</v>
      </c>
      <c r="Y384">
        <v>1</v>
      </c>
    </row>
    <row r="385" spans="1:25" x14ac:dyDescent="0.25">
      <c r="A385">
        <v>179</v>
      </c>
      <c r="B385">
        <v>2</v>
      </c>
      <c r="C385" s="1">
        <v>1000000</v>
      </c>
      <c r="D385">
        <v>1</v>
      </c>
      <c r="E385">
        <v>0</v>
      </c>
      <c r="F385">
        <v>0.65</v>
      </c>
      <c r="G385">
        <v>4.6500000000000004</v>
      </c>
      <c r="H385">
        <v>0.65</v>
      </c>
      <c r="I385">
        <v>0</v>
      </c>
      <c r="J385">
        <v>-3.6419786675408901</v>
      </c>
      <c r="K385">
        <v>-3.4646163741802201</v>
      </c>
      <c r="L385">
        <v>4.99120314330104</v>
      </c>
      <c r="M385">
        <v>63.661629175105503</v>
      </c>
      <c r="N385">
        <v>1.3140779680167801E-3</v>
      </c>
      <c r="O385">
        <v>4.1887902047864198</v>
      </c>
      <c r="P385">
        <v>-2.3043926300522899</v>
      </c>
      <c r="Q385">
        <v>10.8709545593327</v>
      </c>
      <c r="R385">
        <v>12.561290203051801</v>
      </c>
      <c r="S385">
        <v>9.3643340542373608</v>
      </c>
      <c r="T385">
        <v>12.546056420671899</v>
      </c>
      <c r="U385">
        <v>0.33476477641860303</v>
      </c>
      <c r="V385">
        <v>1.39189201945994</v>
      </c>
      <c r="W385">
        <v>2</v>
      </c>
      <c r="X385">
        <v>-157.33715250158801</v>
      </c>
      <c r="Y385">
        <v>1</v>
      </c>
    </row>
    <row r="386" spans="1:25" x14ac:dyDescent="0.25">
      <c r="A386">
        <v>179</v>
      </c>
      <c r="B386">
        <v>2</v>
      </c>
      <c r="C386" s="1">
        <v>1000000</v>
      </c>
      <c r="D386">
        <v>1</v>
      </c>
      <c r="E386">
        <v>0</v>
      </c>
      <c r="F386">
        <v>0.67500000000000004</v>
      </c>
      <c r="G386">
        <v>4.6749999999999998</v>
      </c>
      <c r="H386">
        <v>0.67500000000000004</v>
      </c>
      <c r="I386">
        <v>0</v>
      </c>
      <c r="J386">
        <v>-3.4161716636637598</v>
      </c>
      <c r="K386">
        <v>-3.2390070424977102</v>
      </c>
      <c r="L386">
        <v>5.54492418542773</v>
      </c>
      <c r="M386">
        <v>64.062571375970506</v>
      </c>
      <c r="N386" s="1">
        <v>9.4238528888548003E-5</v>
      </c>
      <c r="O386">
        <v>4.1887902047864296</v>
      </c>
      <c r="P386">
        <v>-2.1888975043172301</v>
      </c>
      <c r="Q386">
        <v>10.783055385912901</v>
      </c>
      <c r="R386">
        <v>12.561293434671899</v>
      </c>
      <c r="S386">
        <v>9.2115282484784302</v>
      </c>
      <c r="T386">
        <v>12.5460693321684</v>
      </c>
      <c r="U386">
        <v>0.338670767150128</v>
      </c>
      <c r="V386">
        <v>1.36452374726556</v>
      </c>
      <c r="W386">
        <v>2</v>
      </c>
      <c r="X386">
        <v>-157.55169974302299</v>
      </c>
      <c r="Y386">
        <v>1</v>
      </c>
    </row>
    <row r="387" spans="1:25" x14ac:dyDescent="0.25">
      <c r="A387">
        <v>179</v>
      </c>
      <c r="B387">
        <v>2</v>
      </c>
      <c r="C387" s="1">
        <v>1000000</v>
      </c>
      <c r="D387">
        <v>1</v>
      </c>
      <c r="E387">
        <v>0</v>
      </c>
      <c r="F387">
        <v>0.7</v>
      </c>
      <c r="G387">
        <v>4.7</v>
      </c>
      <c r="H387">
        <v>0.7</v>
      </c>
      <c r="I387">
        <v>0</v>
      </c>
      <c r="J387">
        <v>-3.2145397891072398</v>
      </c>
      <c r="K387">
        <v>-3.03323134077301</v>
      </c>
      <c r="L387">
        <v>6.0653130480444997</v>
      </c>
      <c r="M387">
        <v>64.428816843457497</v>
      </c>
      <c r="N387" s="1">
        <v>2.8563974951323301E-6</v>
      </c>
      <c r="O387">
        <v>4.1887902047864296</v>
      </c>
      <c r="P387">
        <v>-2.0835773120622401</v>
      </c>
      <c r="Q387">
        <v>10.6940234556353</v>
      </c>
      <c r="R387">
        <v>12.5612956893023</v>
      </c>
      <c r="S387">
        <v>9.0573640059199807</v>
      </c>
      <c r="T387">
        <v>12.5460783401883</v>
      </c>
      <c r="U387">
        <v>0.33466724142207999</v>
      </c>
      <c r="V387">
        <v>1.3375509712482501</v>
      </c>
      <c r="W387">
        <v>2</v>
      </c>
      <c r="X387">
        <v>-157.84551262907601</v>
      </c>
      <c r="Y387">
        <v>1</v>
      </c>
    </row>
    <row r="388" spans="1:25" x14ac:dyDescent="0.25">
      <c r="A388">
        <v>179</v>
      </c>
      <c r="B388">
        <v>2</v>
      </c>
      <c r="C388" s="1">
        <v>1000000</v>
      </c>
      <c r="D388">
        <v>1</v>
      </c>
      <c r="E388">
        <v>0</v>
      </c>
      <c r="F388">
        <v>0.72499999999999998</v>
      </c>
      <c r="G388">
        <v>4.7249999999999996</v>
      </c>
      <c r="H388">
        <v>0.72499999999999998</v>
      </c>
      <c r="I388">
        <v>0</v>
      </c>
      <c r="J388">
        <v>-3.0336549818878198</v>
      </c>
      <c r="K388">
        <v>-2.8521705075428101</v>
      </c>
      <c r="L388">
        <v>6.5556741566893297</v>
      </c>
      <c r="M388">
        <v>64.790042081035693</v>
      </c>
      <c r="N388" s="1">
        <v>7.6990497196555702E-5</v>
      </c>
      <c r="O388">
        <v>4.1887902047864198</v>
      </c>
      <c r="P388">
        <v>-1.9864405849411799</v>
      </c>
      <c r="Q388">
        <v>10.6204442253824</v>
      </c>
      <c r="R388">
        <v>12.561297101732601</v>
      </c>
      <c r="S388">
        <v>8.9282124277193997</v>
      </c>
      <c r="T388">
        <v>12.5460839833172</v>
      </c>
      <c r="U388">
        <v>0.32704784435280798</v>
      </c>
      <c r="V388">
        <v>1.3113728262752</v>
      </c>
      <c r="W388">
        <v>2</v>
      </c>
      <c r="X388">
        <v>-158.19258792847299</v>
      </c>
      <c r="Y388">
        <v>1</v>
      </c>
    </row>
    <row r="389" spans="1:25" x14ac:dyDescent="0.25">
      <c r="A389">
        <v>179</v>
      </c>
      <c r="B389">
        <v>2</v>
      </c>
      <c r="C389" s="1">
        <v>1000000</v>
      </c>
      <c r="D389">
        <v>1</v>
      </c>
      <c r="E389">
        <v>0</v>
      </c>
      <c r="F389">
        <v>0.75</v>
      </c>
      <c r="G389">
        <v>4.75</v>
      </c>
      <c r="H389">
        <v>0.75</v>
      </c>
      <c r="I389">
        <v>0</v>
      </c>
      <c r="J389">
        <v>-2.8691952345226199</v>
      </c>
      <c r="K389">
        <v>-2.6892379966865101</v>
      </c>
      <c r="L389">
        <v>7.0184024806265199</v>
      </c>
      <c r="M389">
        <v>65.139895625729906</v>
      </c>
      <c r="N389">
        <v>5.2725498742113497E-3</v>
      </c>
      <c r="O389">
        <v>4.18879020478645</v>
      </c>
      <c r="P389">
        <v>-1.89587665129863</v>
      </c>
      <c r="Q389">
        <v>10.554065550963401</v>
      </c>
      <c r="R389">
        <v>12.5612949010458</v>
      </c>
      <c r="S389">
        <v>8.8153344867034296</v>
      </c>
      <c r="T389">
        <v>12.546075190123799</v>
      </c>
      <c r="U389">
        <v>0.31390929904606901</v>
      </c>
      <c r="V389">
        <v>1.2854941224551</v>
      </c>
      <c r="W389">
        <v>2</v>
      </c>
      <c r="X389">
        <v>-158.656668999847</v>
      </c>
      <c r="Y389">
        <v>1</v>
      </c>
    </row>
    <row r="390" spans="1:25" x14ac:dyDescent="0.25">
      <c r="A390">
        <v>179</v>
      </c>
      <c r="B390">
        <v>2</v>
      </c>
      <c r="C390" s="1">
        <v>1000000</v>
      </c>
      <c r="D390">
        <v>1</v>
      </c>
      <c r="E390">
        <v>0</v>
      </c>
      <c r="F390">
        <v>0.77500000000000002</v>
      </c>
      <c r="G390">
        <v>4.7750000000000004</v>
      </c>
      <c r="H390">
        <v>0.77500000000000002</v>
      </c>
      <c r="I390">
        <v>0</v>
      </c>
      <c r="J390">
        <v>-2.7173570464871601</v>
      </c>
      <c r="K390">
        <v>-2.5409496653936299</v>
      </c>
      <c r="L390">
        <v>7.4563259453880102</v>
      </c>
      <c r="M390">
        <v>65.4746153733158</v>
      </c>
      <c r="N390">
        <v>6.50730621323107E-3</v>
      </c>
      <c r="O390">
        <v>4.1887902047866303</v>
      </c>
      <c r="P390">
        <v>-1.8115111509639601</v>
      </c>
      <c r="Q390">
        <v>10.493849439860499</v>
      </c>
      <c r="R390">
        <v>12.561292682985</v>
      </c>
      <c r="S390">
        <v>8.7121267070147308</v>
      </c>
      <c r="T390">
        <v>12.5460663275794</v>
      </c>
      <c r="U390">
        <v>0.27497710282606902</v>
      </c>
      <c r="V390">
        <v>1.2610611816688599</v>
      </c>
      <c r="W390">
        <v>2</v>
      </c>
      <c r="X390">
        <v>-159.10116728935901</v>
      </c>
      <c r="Y390">
        <v>1</v>
      </c>
    </row>
    <row r="391" spans="1:25" x14ac:dyDescent="0.25">
      <c r="A391">
        <v>179</v>
      </c>
      <c r="B391">
        <v>2</v>
      </c>
      <c r="C391" s="1">
        <v>1000000</v>
      </c>
      <c r="D391">
        <v>1</v>
      </c>
      <c r="E391">
        <v>0</v>
      </c>
      <c r="F391">
        <v>0.8</v>
      </c>
      <c r="G391">
        <v>4.8</v>
      </c>
      <c r="H391">
        <v>0.8</v>
      </c>
      <c r="I391">
        <v>0</v>
      </c>
      <c r="J391">
        <v>-2.5787859241469602</v>
      </c>
      <c r="K391">
        <v>-2.4077473819053501</v>
      </c>
      <c r="L391">
        <v>7.8714362209889996</v>
      </c>
      <c r="M391">
        <v>65.802749710369696</v>
      </c>
      <c r="N391">
        <v>6.9482565517021602E-2</v>
      </c>
      <c r="O391">
        <v>4.1887902050459003</v>
      </c>
      <c r="P391">
        <v>-1.73285121294752</v>
      </c>
      <c r="Q391">
        <v>10.4410185462737</v>
      </c>
      <c r="R391">
        <v>12.5612888761375</v>
      </c>
      <c r="S391">
        <v>8.6251502508840101</v>
      </c>
      <c r="T391">
        <v>12.5460511169527</v>
      </c>
      <c r="U391">
        <v>0.22986704097240701</v>
      </c>
      <c r="V391">
        <v>1.23650047563611</v>
      </c>
      <c r="W391">
        <v>2</v>
      </c>
      <c r="X391">
        <v>-159.543830861608</v>
      </c>
      <c r="Y391">
        <v>1</v>
      </c>
    </row>
    <row r="392" spans="1:25" x14ac:dyDescent="0.25">
      <c r="A392">
        <v>179</v>
      </c>
      <c r="B392">
        <v>2</v>
      </c>
      <c r="C392" s="1">
        <v>1000000</v>
      </c>
      <c r="D392">
        <v>1</v>
      </c>
      <c r="E392">
        <v>0</v>
      </c>
      <c r="F392">
        <v>0.82499999999999996</v>
      </c>
      <c r="G392">
        <v>4.8250000000000002</v>
      </c>
      <c r="H392">
        <v>0.82499999999999996</v>
      </c>
      <c r="I392">
        <v>0</v>
      </c>
      <c r="J392">
        <v>-2.4596777901634299</v>
      </c>
      <c r="K392">
        <v>-2.2787506589347299</v>
      </c>
      <c r="L392">
        <v>8.2672963954825196</v>
      </c>
      <c r="M392">
        <v>66.087463123089805</v>
      </c>
      <c r="N392">
        <v>8.5920973838838205E-3</v>
      </c>
      <c r="O392">
        <v>4.18879020478649</v>
      </c>
      <c r="P392">
        <v>-1.6604113304611701</v>
      </c>
      <c r="Q392">
        <v>10.3792093434304</v>
      </c>
      <c r="R392">
        <v>12.561298412621399</v>
      </c>
      <c r="S392">
        <v>8.5139568850442195</v>
      </c>
      <c r="T392">
        <v>12.5460892207171</v>
      </c>
      <c r="U392">
        <v>0.27808733093327698</v>
      </c>
      <c r="V392">
        <v>1.21370312866774</v>
      </c>
      <c r="W392">
        <v>2</v>
      </c>
      <c r="X392">
        <v>-160.22689593326899</v>
      </c>
      <c r="Y392">
        <v>1</v>
      </c>
    </row>
    <row r="393" spans="1:25" x14ac:dyDescent="0.25">
      <c r="A393">
        <v>179</v>
      </c>
      <c r="B393">
        <v>2</v>
      </c>
      <c r="C393" s="1">
        <v>1000000</v>
      </c>
      <c r="D393">
        <v>1</v>
      </c>
      <c r="E393">
        <v>0</v>
      </c>
      <c r="F393">
        <v>0.85</v>
      </c>
      <c r="G393">
        <v>4.8499999999999996</v>
      </c>
      <c r="H393">
        <v>0.85</v>
      </c>
      <c r="I393">
        <v>0</v>
      </c>
      <c r="J393">
        <v>-2.3434642958170899</v>
      </c>
      <c r="K393">
        <v>-2.1652190490987202</v>
      </c>
      <c r="L393">
        <v>8.6411485609553296</v>
      </c>
      <c r="M393">
        <v>66.404451049430307</v>
      </c>
      <c r="N393">
        <v>7.45273308830168E-4</v>
      </c>
      <c r="O393">
        <v>4.1887902047961703</v>
      </c>
      <c r="P393">
        <v>-1.58730305033452</v>
      </c>
      <c r="Q393">
        <v>10.339701540520499</v>
      </c>
      <c r="R393">
        <v>12.5612875231923</v>
      </c>
      <c r="S393">
        <v>8.4571247056874093</v>
      </c>
      <c r="T393">
        <v>12.546045711330899</v>
      </c>
      <c r="U393">
        <v>0.16663033374021399</v>
      </c>
      <c r="V393">
        <v>1.18958154238805</v>
      </c>
      <c r="W393">
        <v>2</v>
      </c>
      <c r="X393">
        <v>-160.79582041672001</v>
      </c>
      <c r="Y393">
        <v>1</v>
      </c>
    </row>
    <row r="394" spans="1:25" x14ac:dyDescent="0.25">
      <c r="A394">
        <v>179</v>
      </c>
      <c r="B394">
        <v>2</v>
      </c>
      <c r="C394" s="1">
        <v>1000000</v>
      </c>
      <c r="D394">
        <v>1</v>
      </c>
      <c r="E394">
        <v>0</v>
      </c>
      <c r="F394">
        <v>0.875</v>
      </c>
      <c r="G394">
        <v>4.875</v>
      </c>
      <c r="H394">
        <v>0.875</v>
      </c>
      <c r="I394">
        <v>0</v>
      </c>
      <c r="J394">
        <v>-2.23665130232061</v>
      </c>
      <c r="K394">
        <v>-2.0574612914260402</v>
      </c>
      <c r="L394">
        <v>8.9991939641775502</v>
      </c>
      <c r="M394">
        <v>66.679135462231898</v>
      </c>
      <c r="N394">
        <v>3.9771422764493698E-3</v>
      </c>
      <c r="O394">
        <v>4.1887902048043202</v>
      </c>
      <c r="P394">
        <v>-1.5223562961691</v>
      </c>
      <c r="Q394">
        <v>10.289779435539501</v>
      </c>
      <c r="R394">
        <v>12.561291055564199</v>
      </c>
      <c r="S394">
        <v>8.3737487575009908</v>
      </c>
      <c r="T394">
        <v>12.5460598253255</v>
      </c>
      <c r="U394">
        <v>0.14170732870871999</v>
      </c>
      <c r="V394">
        <v>1.1662172218079401</v>
      </c>
      <c r="W394">
        <v>2</v>
      </c>
      <c r="X394">
        <v>-161.698934025905</v>
      </c>
      <c r="Y394">
        <v>1</v>
      </c>
    </row>
    <row r="395" spans="1:25" x14ac:dyDescent="0.25">
      <c r="A395">
        <v>179</v>
      </c>
      <c r="B395">
        <v>2</v>
      </c>
      <c r="C395" s="1">
        <v>1000000</v>
      </c>
      <c r="D395">
        <v>1</v>
      </c>
      <c r="E395">
        <v>0</v>
      </c>
      <c r="F395">
        <v>0.9</v>
      </c>
      <c r="G395">
        <v>4.9000000000000004</v>
      </c>
      <c r="H395">
        <v>0.9</v>
      </c>
      <c r="I395">
        <v>0</v>
      </c>
      <c r="J395">
        <v>-2.1348091537734502</v>
      </c>
      <c r="K395">
        <v>-1.9471589801934499</v>
      </c>
      <c r="L395">
        <v>9.3404853197381197</v>
      </c>
      <c r="M395">
        <v>66.9204028571653</v>
      </c>
      <c r="N395">
        <v>1.57739369612163E-2</v>
      </c>
      <c r="O395">
        <v>4.18879020520186</v>
      </c>
      <c r="P395">
        <v>-1.4571217483515899</v>
      </c>
      <c r="Q395">
        <v>10.2300080996388</v>
      </c>
      <c r="R395">
        <v>12.5612933023036</v>
      </c>
      <c r="S395">
        <v>8.2737234891464606</v>
      </c>
      <c r="T395">
        <v>12.546068802490501</v>
      </c>
      <c r="U395">
        <v>0.219803978906875</v>
      </c>
      <c r="V395">
        <v>1.14518934196095</v>
      </c>
      <c r="W395">
        <v>2</v>
      </c>
      <c r="X395">
        <v>-157.40016623168299</v>
      </c>
      <c r="Y395">
        <v>1</v>
      </c>
    </row>
    <row r="396" spans="1:25" x14ac:dyDescent="0.25">
      <c r="A396">
        <v>179</v>
      </c>
      <c r="B396">
        <v>2</v>
      </c>
      <c r="C396" s="1">
        <v>1000000</v>
      </c>
      <c r="D396">
        <v>1</v>
      </c>
      <c r="E396">
        <v>0</v>
      </c>
      <c r="F396">
        <v>0.92500000000000004</v>
      </c>
      <c r="G396">
        <v>4.9249999999999998</v>
      </c>
      <c r="H396">
        <v>0.92500000000000004</v>
      </c>
      <c r="I396">
        <v>0</v>
      </c>
      <c r="J396">
        <v>-2.0310951142234401</v>
      </c>
      <c r="K396">
        <v>-1.8501627111541199</v>
      </c>
      <c r="L396">
        <v>9.6664231634889095</v>
      </c>
      <c r="M396">
        <v>67.142632288935602</v>
      </c>
      <c r="N396">
        <v>2.97008164416694E-2</v>
      </c>
      <c r="O396">
        <v>4.1887902048168399</v>
      </c>
      <c r="P396">
        <v>-1.40116599288082</v>
      </c>
      <c r="Q396">
        <v>10.165240892025301</v>
      </c>
      <c r="R396">
        <v>12.5612976974526</v>
      </c>
      <c r="S396">
        <v>8.1699865006703192</v>
      </c>
      <c r="T396">
        <v>12.546086363732099</v>
      </c>
      <c r="U396">
        <v>0.19893180403212499</v>
      </c>
      <c r="V396">
        <v>1.1234571734562599</v>
      </c>
      <c r="W396">
        <v>2</v>
      </c>
      <c r="X396">
        <v>-152.87961460086501</v>
      </c>
      <c r="Y396">
        <v>1</v>
      </c>
    </row>
    <row r="397" spans="1:25" x14ac:dyDescent="0.25">
      <c r="A397">
        <v>179</v>
      </c>
      <c r="B397">
        <v>2</v>
      </c>
      <c r="C397" s="1">
        <v>1000000</v>
      </c>
      <c r="D397">
        <v>1</v>
      </c>
      <c r="E397">
        <v>0</v>
      </c>
      <c r="F397">
        <v>0.95</v>
      </c>
      <c r="G397">
        <v>4.95</v>
      </c>
      <c r="H397">
        <v>0.95</v>
      </c>
      <c r="I397">
        <v>0</v>
      </c>
      <c r="J397">
        <v>-1.94216405521011</v>
      </c>
      <c r="K397">
        <v>-1.7581848718866999</v>
      </c>
      <c r="L397">
        <v>9.9782999953387694</v>
      </c>
      <c r="M397">
        <v>67.362725752228997</v>
      </c>
      <c r="N397">
        <v>7.7692313298326405E-4</v>
      </c>
      <c r="O397">
        <v>4.1887902047865504</v>
      </c>
      <c r="P397">
        <v>-1.34567090355148</v>
      </c>
      <c r="Q397">
        <v>10.108207572379699</v>
      </c>
      <c r="R397">
        <v>12.5613010211306</v>
      </c>
      <c r="S397">
        <v>8.0781926537527493</v>
      </c>
      <c r="T397">
        <v>12.5460996437244</v>
      </c>
      <c r="U397">
        <v>0.219559071069657</v>
      </c>
      <c r="V397">
        <v>1.1031877898803</v>
      </c>
      <c r="W397">
        <v>2</v>
      </c>
      <c r="X397">
        <v>-158.412623695631</v>
      </c>
      <c r="Y397">
        <v>1</v>
      </c>
    </row>
    <row r="398" spans="1:25" x14ac:dyDescent="0.25">
      <c r="A398">
        <v>179</v>
      </c>
      <c r="B398">
        <v>2</v>
      </c>
      <c r="C398" s="1">
        <v>1000000</v>
      </c>
      <c r="D398">
        <v>1</v>
      </c>
      <c r="E398">
        <v>0</v>
      </c>
      <c r="F398">
        <v>0.97499999999999998</v>
      </c>
      <c r="G398">
        <v>4.9749999999999996</v>
      </c>
      <c r="H398">
        <v>0.97499999999999998</v>
      </c>
      <c r="I398">
        <v>0</v>
      </c>
      <c r="J398">
        <v>-1.89275772985728</v>
      </c>
      <c r="K398">
        <v>-1.6877203810668</v>
      </c>
      <c r="L398">
        <v>10.2694823966977</v>
      </c>
      <c r="M398">
        <v>67.656421248783005</v>
      </c>
      <c r="N398">
        <v>2.9105854342691601E-2</v>
      </c>
      <c r="O398">
        <v>4.1887902047864198</v>
      </c>
      <c r="P398">
        <v>-1.29038653544691</v>
      </c>
      <c r="Q398">
        <v>10.1443717214309</v>
      </c>
      <c r="R398">
        <v>12.561303285958401</v>
      </c>
      <c r="S398">
        <v>8.0806920377557905</v>
      </c>
      <c r="T398">
        <v>12.5461086939659</v>
      </c>
      <c r="U398">
        <v>-4.0690364932156602E-2</v>
      </c>
      <c r="V398">
        <v>1.08181375968325</v>
      </c>
      <c r="W398">
        <v>2</v>
      </c>
      <c r="X398">
        <v>-158.886668981958</v>
      </c>
      <c r="Y398">
        <v>1</v>
      </c>
    </row>
    <row r="399" spans="1:25" x14ac:dyDescent="0.25">
      <c r="A399">
        <v>179</v>
      </c>
      <c r="B399">
        <v>2</v>
      </c>
      <c r="C399" s="1">
        <v>1000000</v>
      </c>
      <c r="D399">
        <v>1</v>
      </c>
      <c r="E399">
        <v>0</v>
      </c>
      <c r="F399">
        <v>1</v>
      </c>
      <c r="G399">
        <v>5</v>
      </c>
      <c r="H399">
        <v>1</v>
      </c>
      <c r="I399">
        <v>0</v>
      </c>
      <c r="J399">
        <v>-1.7745304367810499</v>
      </c>
      <c r="K399">
        <v>-1.6105110223529899</v>
      </c>
      <c r="L399">
        <v>10.554368856253699</v>
      </c>
      <c r="M399">
        <v>67.889651328047094</v>
      </c>
      <c r="N399">
        <v>5.3404343267136802E-4</v>
      </c>
      <c r="O399">
        <v>4.1887902047864296</v>
      </c>
      <c r="P399">
        <v>-1.23833978811217</v>
      </c>
      <c r="Q399">
        <v>10.110181470515901</v>
      </c>
      <c r="R399">
        <v>12.5613029064936</v>
      </c>
      <c r="S399">
        <v>8.0290500975329309</v>
      </c>
      <c r="T399">
        <v>12.546107177766</v>
      </c>
      <c r="U399">
        <v>-5.36149635972826E-2</v>
      </c>
      <c r="V399">
        <v>1.06135198580943</v>
      </c>
      <c r="W399">
        <v>2</v>
      </c>
      <c r="X399">
        <v>-159.53418903171101</v>
      </c>
      <c r="Y399">
        <v>1</v>
      </c>
    </row>
    <row r="400" spans="1:25" x14ac:dyDescent="0.25">
      <c r="A400">
        <v>179</v>
      </c>
      <c r="B400">
        <v>2</v>
      </c>
      <c r="C400" s="1">
        <v>1000000</v>
      </c>
      <c r="D400">
        <v>1</v>
      </c>
      <c r="E400">
        <v>0</v>
      </c>
      <c r="F400">
        <v>1.0249999999999999</v>
      </c>
      <c r="G400">
        <v>5.0250000000000004</v>
      </c>
      <c r="H400">
        <v>1.0249999999999999</v>
      </c>
      <c r="I400">
        <v>0</v>
      </c>
      <c r="J400">
        <v>-1.6943120233078399</v>
      </c>
      <c r="K400">
        <v>-1.54138648500957</v>
      </c>
      <c r="L400">
        <v>10.822703934230599</v>
      </c>
      <c r="M400">
        <v>68.136692287920894</v>
      </c>
      <c r="N400">
        <v>1.3587834164481999E-4</v>
      </c>
      <c r="O400">
        <v>4.1887902047864198</v>
      </c>
      <c r="P400">
        <v>-1.1874335066808801</v>
      </c>
      <c r="Q400">
        <v>10.096997456768699</v>
      </c>
      <c r="R400">
        <v>12.5613213075301</v>
      </c>
      <c r="S400">
        <v>8.0076905008888506</v>
      </c>
      <c r="T400">
        <v>12.546180697054901</v>
      </c>
      <c r="U400">
        <v>-0.16414466140519701</v>
      </c>
      <c r="V400">
        <v>1.0434738070720899</v>
      </c>
      <c r="W400">
        <v>2</v>
      </c>
      <c r="X400">
        <v>-159.77290553366799</v>
      </c>
      <c r="Y400">
        <v>1</v>
      </c>
    </row>
    <row r="401" spans="1:25" x14ac:dyDescent="0.25">
      <c r="A401">
        <v>179</v>
      </c>
      <c r="B401">
        <v>2</v>
      </c>
      <c r="C401" s="1">
        <v>1000000</v>
      </c>
      <c r="D401">
        <v>1</v>
      </c>
      <c r="E401">
        <v>0</v>
      </c>
      <c r="F401">
        <v>1.05</v>
      </c>
      <c r="G401">
        <v>5.05</v>
      </c>
      <c r="H401">
        <v>1.05</v>
      </c>
      <c r="I401">
        <v>0</v>
      </c>
      <c r="J401">
        <v>-1.63160711649681</v>
      </c>
      <c r="K401">
        <v>-1.4724349956168099</v>
      </c>
      <c r="L401">
        <v>11.0840628650234</v>
      </c>
      <c r="M401">
        <v>68.358164126361402</v>
      </c>
      <c r="N401">
        <v>1.9912788109778599E-4</v>
      </c>
      <c r="O401">
        <v>4.1887902047864296</v>
      </c>
      <c r="P401">
        <v>-1.1390623913448601</v>
      </c>
      <c r="Q401">
        <v>10.070671416448</v>
      </c>
      <c r="R401">
        <v>12.5613213619388</v>
      </c>
      <c r="S401">
        <v>7.9678027723001597</v>
      </c>
      <c r="T401">
        <v>12.546180914423701</v>
      </c>
      <c r="U401">
        <v>-0.15726031251983999</v>
      </c>
      <c r="V401">
        <v>1.0231594493207199</v>
      </c>
      <c r="W401">
        <v>2</v>
      </c>
      <c r="X401">
        <v>-160.49117195701601</v>
      </c>
      <c r="Y401">
        <v>1</v>
      </c>
    </row>
    <row r="402" spans="1:25" x14ac:dyDescent="0.25">
      <c r="A402">
        <v>179</v>
      </c>
      <c r="B402">
        <v>2</v>
      </c>
      <c r="C402" s="1">
        <v>1000000</v>
      </c>
      <c r="D402">
        <v>1</v>
      </c>
      <c r="E402">
        <v>0</v>
      </c>
      <c r="F402">
        <v>1.075</v>
      </c>
      <c r="G402">
        <v>5.0750000000000002</v>
      </c>
      <c r="H402">
        <v>1.075</v>
      </c>
      <c r="I402">
        <v>0</v>
      </c>
      <c r="J402">
        <v>-1.6797387597826701</v>
      </c>
      <c r="K402">
        <v>-1.40760356206889</v>
      </c>
      <c r="L402">
        <v>11.3348658131122</v>
      </c>
      <c r="M402">
        <v>68.570612429319795</v>
      </c>
      <c r="N402">
        <v>8.6988000024553896E-3</v>
      </c>
      <c r="O402">
        <v>4.1887902047868604</v>
      </c>
      <c r="P402">
        <v>-1.0932566460336901</v>
      </c>
      <c r="Q402">
        <v>10.0448946682565</v>
      </c>
      <c r="R402">
        <v>12.5613215801958</v>
      </c>
      <c r="S402">
        <v>7.9294523080243096</v>
      </c>
      <c r="T402">
        <v>12.5461817863928</v>
      </c>
      <c r="U402">
        <v>-0.15011432318701401</v>
      </c>
      <c r="V402">
        <v>1.0037588833300199</v>
      </c>
      <c r="W402">
        <v>2</v>
      </c>
      <c r="X402">
        <v>-161.12643525901899</v>
      </c>
      <c r="Y402">
        <v>1</v>
      </c>
    </row>
    <row r="403" spans="1:25" x14ac:dyDescent="0.25">
      <c r="A403">
        <v>179</v>
      </c>
      <c r="B403">
        <v>2</v>
      </c>
      <c r="C403" s="1">
        <v>1000000</v>
      </c>
      <c r="D403">
        <v>1</v>
      </c>
      <c r="E403">
        <v>0</v>
      </c>
      <c r="F403">
        <v>1.1000000000000001</v>
      </c>
      <c r="G403">
        <v>5.0999999999999996</v>
      </c>
      <c r="H403">
        <v>1.1000000000000001</v>
      </c>
      <c r="I403">
        <v>0</v>
      </c>
      <c r="J403">
        <v>-1.49695490287466</v>
      </c>
      <c r="K403">
        <v>-1.3458935397579801</v>
      </c>
      <c r="L403">
        <v>11.5742099132144</v>
      </c>
      <c r="M403">
        <v>68.780419236348607</v>
      </c>
      <c r="N403">
        <v>0.13009641594790899</v>
      </c>
      <c r="O403">
        <v>4.1887902134911403</v>
      </c>
      <c r="P403">
        <v>-1.04830346196506</v>
      </c>
      <c r="Q403">
        <v>10.0273797101301</v>
      </c>
      <c r="R403">
        <v>12.5613216951899</v>
      </c>
      <c r="S403">
        <v>7.8999039002593197</v>
      </c>
      <c r="T403">
        <v>12.5461822458289</v>
      </c>
      <c r="U403">
        <v>-0.16859092238722601</v>
      </c>
      <c r="V403">
        <v>0.98468467394337</v>
      </c>
      <c r="W403">
        <v>2</v>
      </c>
      <c r="X403">
        <v>-166.91318414369499</v>
      </c>
      <c r="Y403">
        <v>1</v>
      </c>
    </row>
    <row r="404" spans="1:25" x14ac:dyDescent="0.25">
      <c r="A404">
        <v>179</v>
      </c>
      <c r="B404">
        <v>2</v>
      </c>
      <c r="C404" s="1">
        <v>1000000</v>
      </c>
      <c r="D404">
        <v>1</v>
      </c>
      <c r="E404">
        <v>0</v>
      </c>
      <c r="F404">
        <v>1.125</v>
      </c>
      <c r="G404">
        <v>5.125</v>
      </c>
      <c r="H404">
        <v>1.125</v>
      </c>
      <c r="I404">
        <v>0</v>
      </c>
      <c r="J404">
        <v>-1.4369850012582901</v>
      </c>
      <c r="K404">
        <v>-1.2862470334385501</v>
      </c>
      <c r="L404">
        <v>11.80660753195</v>
      </c>
      <c r="M404">
        <v>68.978958798093402</v>
      </c>
      <c r="N404">
        <v>2.5088469654974501E-3</v>
      </c>
      <c r="O404">
        <v>4.1887902047864101</v>
      </c>
      <c r="P404">
        <v>-1.0052239685147799</v>
      </c>
      <c r="Q404">
        <v>10.001845166002401</v>
      </c>
      <c r="R404">
        <v>12.561322401362601</v>
      </c>
      <c r="S404">
        <v>7.8660800404784004</v>
      </c>
      <c r="T404">
        <v>12.546185067088601</v>
      </c>
      <c r="U404">
        <v>-0.13925815723913401</v>
      </c>
      <c r="V404">
        <v>0.96499759226383297</v>
      </c>
      <c r="W404">
        <v>2</v>
      </c>
      <c r="X404">
        <v>-157.31548814434299</v>
      </c>
      <c r="Y404">
        <v>1</v>
      </c>
    </row>
    <row r="405" spans="1:25" x14ac:dyDescent="0.25">
      <c r="A405">
        <v>179</v>
      </c>
      <c r="B405">
        <v>2</v>
      </c>
      <c r="C405" s="1">
        <v>1000000</v>
      </c>
      <c r="D405">
        <v>1</v>
      </c>
      <c r="E405">
        <v>0</v>
      </c>
      <c r="F405">
        <v>1.1499999999999999</v>
      </c>
      <c r="G405">
        <v>5.15</v>
      </c>
      <c r="H405">
        <v>1.1499999999999999</v>
      </c>
      <c r="I405">
        <v>0</v>
      </c>
      <c r="J405">
        <v>-1.38162929627258</v>
      </c>
      <c r="K405">
        <v>-1.2270474494764401</v>
      </c>
      <c r="L405">
        <v>12.0278357385617</v>
      </c>
      <c r="M405">
        <v>69.171738207622994</v>
      </c>
      <c r="N405">
        <v>0.35420700206627198</v>
      </c>
      <c r="O405">
        <v>4.1887902197528604</v>
      </c>
      <c r="P405">
        <v>-0.96146748337586496</v>
      </c>
      <c r="Q405">
        <v>9.9775806755871805</v>
      </c>
      <c r="R405">
        <v>12.561322936511001</v>
      </c>
      <c r="S405">
        <v>7.8376376142150903</v>
      </c>
      <c r="T405">
        <v>12.546187205105999</v>
      </c>
      <c r="U405">
        <v>-0.126968956344651</v>
      </c>
      <c r="V405">
        <v>0.944243314102864</v>
      </c>
      <c r="W405">
        <v>2</v>
      </c>
      <c r="X405">
        <v>-163.33225593193899</v>
      </c>
      <c r="Y405">
        <v>1</v>
      </c>
    </row>
    <row r="406" spans="1:25" x14ac:dyDescent="0.25">
      <c r="A406">
        <v>179</v>
      </c>
      <c r="B406">
        <v>2</v>
      </c>
      <c r="C406" s="1">
        <v>1000000</v>
      </c>
      <c r="D406">
        <v>1</v>
      </c>
      <c r="E406">
        <v>0</v>
      </c>
      <c r="F406">
        <v>1.175</v>
      </c>
      <c r="G406">
        <v>5.1749999999999998</v>
      </c>
      <c r="H406">
        <v>1.175</v>
      </c>
      <c r="I406">
        <v>0</v>
      </c>
      <c r="J406">
        <v>-1.32766927013542</v>
      </c>
      <c r="K406">
        <v>-1.2137671642924199</v>
      </c>
      <c r="L406">
        <v>12.2272078396123</v>
      </c>
      <c r="M406">
        <v>69.629181634259496</v>
      </c>
      <c r="N406">
        <v>0.31639267567205498</v>
      </c>
      <c r="O406">
        <v>4.1887912098720603</v>
      </c>
      <c r="P406">
        <v>-0.92022984077621806</v>
      </c>
      <c r="Q406">
        <v>10.1098195002869</v>
      </c>
      <c r="R406">
        <v>12.5613244813912</v>
      </c>
      <c r="S406">
        <v>8.0956767581114004</v>
      </c>
      <c r="T406">
        <v>12.546193377178501</v>
      </c>
      <c r="U406">
        <v>-0.33915623973745901</v>
      </c>
      <c r="V406">
        <v>0.92670394248962595</v>
      </c>
      <c r="W406">
        <v>2</v>
      </c>
      <c r="X406">
        <v>-158.428413622021</v>
      </c>
      <c r="Y406">
        <v>1</v>
      </c>
    </row>
    <row r="407" spans="1:25" x14ac:dyDescent="0.25">
      <c r="A407">
        <v>179</v>
      </c>
      <c r="B407">
        <v>2</v>
      </c>
      <c r="C407" s="1">
        <v>1000000</v>
      </c>
      <c r="D407">
        <v>1</v>
      </c>
      <c r="E407">
        <v>0</v>
      </c>
      <c r="F407">
        <v>1.2</v>
      </c>
      <c r="G407">
        <v>5.2</v>
      </c>
      <c r="H407">
        <v>1.2</v>
      </c>
      <c r="I407">
        <v>0</v>
      </c>
      <c r="J407">
        <v>-1.27570268350287</v>
      </c>
      <c r="K407">
        <v>-1.1618148619772699</v>
      </c>
      <c r="L407">
        <v>12.4315600572421</v>
      </c>
      <c r="M407">
        <v>69.835384350427006</v>
      </c>
      <c r="N407">
        <v>0.34119638919640499</v>
      </c>
      <c r="O407">
        <v>4.1887903034728398</v>
      </c>
      <c r="P407">
        <v>-0.87970467736675295</v>
      </c>
      <c r="Q407">
        <v>10.109674316406901</v>
      </c>
      <c r="R407">
        <v>12.561323776216399</v>
      </c>
      <c r="S407">
        <v>8.0975583154142807</v>
      </c>
      <c r="T407">
        <v>12.546190559892301</v>
      </c>
      <c r="U407">
        <v>-0.38157975128610899</v>
      </c>
      <c r="V407">
        <v>0.90850868272801899</v>
      </c>
      <c r="W407">
        <v>2</v>
      </c>
      <c r="X407">
        <v>-164.54868597613699</v>
      </c>
      <c r="Y407">
        <v>1</v>
      </c>
    </row>
    <row r="408" spans="1:25" x14ac:dyDescent="0.25">
      <c r="A408">
        <v>179</v>
      </c>
      <c r="B408">
        <v>2</v>
      </c>
      <c r="C408" s="1">
        <v>1000000</v>
      </c>
      <c r="D408">
        <v>1</v>
      </c>
      <c r="E408">
        <v>0</v>
      </c>
      <c r="F408">
        <v>1.2250000000000001</v>
      </c>
      <c r="G408">
        <v>5.2249999999999996</v>
      </c>
      <c r="H408">
        <v>1.2250000000000001</v>
      </c>
      <c r="I408">
        <v>0</v>
      </c>
      <c r="J408">
        <v>-1.22646578036089</v>
      </c>
      <c r="K408">
        <v>-1.0998186302976201</v>
      </c>
      <c r="L408">
        <v>12.6295614871513</v>
      </c>
      <c r="M408">
        <v>69.953085178951198</v>
      </c>
      <c r="N408">
        <v>0.34007394206094699</v>
      </c>
      <c r="O408">
        <v>4.1887911168641399</v>
      </c>
      <c r="P408">
        <v>-0.840040506668293</v>
      </c>
      <c r="Q408">
        <v>10.0563264327195</v>
      </c>
      <c r="R408">
        <v>12.5613245347367</v>
      </c>
      <c r="S408">
        <v>8.0173004858894892</v>
      </c>
      <c r="T408">
        <v>12.5461935903026</v>
      </c>
      <c r="U408">
        <v>-0.44270110766188298</v>
      </c>
      <c r="V408">
        <v>0.88822279206705701</v>
      </c>
      <c r="W408">
        <v>2</v>
      </c>
      <c r="X408">
        <v>-159.44013385543499</v>
      </c>
      <c r="Y408">
        <v>1</v>
      </c>
    </row>
    <row r="409" spans="1:25" x14ac:dyDescent="0.25">
      <c r="A409">
        <v>179</v>
      </c>
      <c r="B409">
        <v>2</v>
      </c>
      <c r="C409" s="1">
        <v>1000000</v>
      </c>
      <c r="D409">
        <v>1</v>
      </c>
      <c r="E409">
        <v>0</v>
      </c>
      <c r="F409">
        <v>1.25</v>
      </c>
      <c r="G409">
        <v>5.25</v>
      </c>
      <c r="H409">
        <v>1.25</v>
      </c>
      <c r="I409">
        <v>0</v>
      </c>
      <c r="J409">
        <v>-1.18600196898871</v>
      </c>
      <c r="K409">
        <v>-1.0165322440531701</v>
      </c>
      <c r="L409">
        <v>12.8244180180168</v>
      </c>
      <c r="M409">
        <v>69.947215225197496</v>
      </c>
      <c r="N409">
        <v>1.0042870521652101E-2</v>
      </c>
      <c r="O409">
        <v>4.1887901802276302</v>
      </c>
      <c r="P409">
        <v>-0.79490171217589001</v>
      </c>
      <c r="Q409">
        <v>9.9376484075919294</v>
      </c>
      <c r="R409">
        <v>12.5613246019425</v>
      </c>
      <c r="S409">
        <v>7.8168463923173999</v>
      </c>
      <c r="T409">
        <v>12.5461938588021</v>
      </c>
      <c r="U409">
        <v>-0.55559420744939003</v>
      </c>
      <c r="V409">
        <v>0.86853931598304901</v>
      </c>
      <c r="W409">
        <v>2</v>
      </c>
      <c r="X409">
        <v>-170.87465127546699</v>
      </c>
      <c r="Y409">
        <v>1</v>
      </c>
    </row>
    <row r="410" spans="1:25" x14ac:dyDescent="0.25">
      <c r="A410">
        <v>179</v>
      </c>
      <c r="B410">
        <v>2</v>
      </c>
      <c r="C410" s="1">
        <v>1000000</v>
      </c>
      <c r="D410">
        <v>1</v>
      </c>
      <c r="E410">
        <v>0</v>
      </c>
      <c r="F410">
        <v>1.2749999999999999</v>
      </c>
      <c r="G410">
        <v>5.2750000000000004</v>
      </c>
      <c r="H410">
        <v>1.2749999999999999</v>
      </c>
      <c r="I410">
        <v>0</v>
      </c>
      <c r="J410">
        <v>-6.4297726899209207E-2</v>
      </c>
      <c r="K410">
        <v>-4.9069963245856902E-3</v>
      </c>
      <c r="L410">
        <v>14.926141324413701</v>
      </c>
      <c r="M410">
        <v>64.253031918633198</v>
      </c>
      <c r="N410" s="1">
        <v>3.3886576122041601E-5</v>
      </c>
      <c r="O410">
        <v>4.1887902047863603</v>
      </c>
      <c r="P410">
        <v>0.44805380338473599</v>
      </c>
      <c r="Q410">
        <v>2.3037316302764301</v>
      </c>
      <c r="R410">
        <v>12.5613246237439</v>
      </c>
      <c r="S410">
        <v>2.09218032615145E-2</v>
      </c>
      <c r="T410">
        <v>12.5461939459029</v>
      </c>
      <c r="U410">
        <v>-4.9371956566049199E-3</v>
      </c>
      <c r="V410" s="1">
        <v>1.72824285122629E-5</v>
      </c>
      <c r="W410">
        <v>2</v>
      </c>
      <c r="X410">
        <v>149.569993545507</v>
      </c>
      <c r="Y410">
        <v>1</v>
      </c>
    </row>
    <row r="411" spans="1:25" x14ac:dyDescent="0.25">
      <c r="A411">
        <v>179</v>
      </c>
      <c r="B411">
        <v>2</v>
      </c>
      <c r="C411" s="1">
        <v>1000000</v>
      </c>
      <c r="D411">
        <v>1</v>
      </c>
      <c r="E411">
        <v>0</v>
      </c>
      <c r="F411">
        <v>1.3</v>
      </c>
      <c r="G411">
        <v>5.3</v>
      </c>
      <c r="H411">
        <v>1.3</v>
      </c>
      <c r="I411">
        <v>0</v>
      </c>
      <c r="J411">
        <v>-0.19029918645496299</v>
      </c>
      <c r="K411">
        <v>-5.7864054428865901E-4</v>
      </c>
      <c r="L411">
        <v>15.04953006565</v>
      </c>
      <c r="M411">
        <v>64.354411643521004</v>
      </c>
      <c r="N411">
        <v>9.1133251169097697E-4</v>
      </c>
      <c r="O411">
        <v>4.1887902047886403</v>
      </c>
      <c r="P411">
        <v>0.38167146359111798</v>
      </c>
      <c r="Q411">
        <v>0.210827212031269</v>
      </c>
      <c r="R411">
        <v>12.561324626292899</v>
      </c>
      <c r="S411">
        <v>1.14591816701802E-4</v>
      </c>
      <c r="T411">
        <v>12.5461939560868</v>
      </c>
      <c r="U411">
        <v>-7.6141267106721602E-2</v>
      </c>
      <c r="V411">
        <v>1.2746266542876801E-3</v>
      </c>
      <c r="W411">
        <v>2</v>
      </c>
      <c r="X411">
        <v>151.969515485729</v>
      </c>
      <c r="Y41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83"/>
  <sheetViews>
    <sheetView topLeftCell="A46" workbookViewId="0"/>
  </sheetViews>
  <sheetFormatPr defaultRowHeight="15" x14ac:dyDescent="0.25"/>
  <cols>
    <col min="1" max="2" width="4" customWidth="1"/>
    <col min="3" max="3" width="8.5703125" customWidth="1"/>
    <col min="4" max="5" width="2" customWidth="1"/>
    <col min="6" max="6" width="9" customWidth="1"/>
    <col min="7" max="7" width="8" customWidth="1"/>
    <col min="8" max="8" width="9" customWidth="1"/>
    <col min="9" max="9" width="2" customWidth="1"/>
    <col min="10" max="11" width="12.7109375" customWidth="1"/>
    <col min="12" max="12" width="12" customWidth="1"/>
    <col min="13" max="15" width="12" bestFit="1" customWidth="1"/>
    <col min="16" max="16" width="12.7109375" customWidth="1"/>
    <col min="17" max="17" width="12" customWidth="1"/>
    <col min="18" max="18" width="12" bestFit="1" customWidth="1"/>
    <col min="19" max="19" width="12" customWidth="1"/>
    <col min="20" max="20" width="12" bestFit="1" customWidth="1"/>
    <col min="21" max="22" width="12" customWidth="1"/>
    <col min="23" max="23" width="8" customWidth="1"/>
    <col min="24" max="24" width="12" customWidth="1"/>
    <col min="25" max="25" width="2" customWidth="1"/>
  </cols>
  <sheetData>
    <row r="1" spans="1:25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0</v>
      </c>
      <c r="G1" t="s">
        <v>22</v>
      </c>
      <c r="H1" t="s">
        <v>23</v>
      </c>
      <c r="I1" t="s">
        <v>24</v>
      </c>
      <c r="J1" t="s">
        <v>16</v>
      </c>
      <c r="K1" t="s">
        <v>25</v>
      </c>
      <c r="L1" t="s">
        <v>26</v>
      </c>
      <c r="M1" t="s">
        <v>27</v>
      </c>
      <c r="N1" t="s">
        <v>28</v>
      </c>
      <c r="O1" t="s">
        <v>15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</row>
    <row r="2" spans="1:25" x14ac:dyDescent="0.25">
      <c r="A2">
        <v>24</v>
      </c>
      <c r="B2">
        <v>1.5</v>
      </c>
      <c r="C2" s="1">
        <v>1000000</v>
      </c>
      <c r="D2">
        <v>1</v>
      </c>
      <c r="E2">
        <v>0</v>
      </c>
      <c r="F2">
        <v>0.60450000000000004</v>
      </c>
      <c r="G2">
        <v>3.6044999999999998</v>
      </c>
      <c r="H2">
        <v>0.60450000000000004</v>
      </c>
      <c r="I2">
        <v>0</v>
      </c>
      <c r="J2">
        <v>1.73357681390953</v>
      </c>
      <c r="K2">
        <v>1.7403889511916999</v>
      </c>
      <c r="L2">
        <v>11.7922239495689</v>
      </c>
      <c r="M2">
        <v>34.838967507922703</v>
      </c>
      <c r="N2">
        <v>0.237553723708156</v>
      </c>
      <c r="O2">
        <v>4.1887902323499304</v>
      </c>
      <c r="P2">
        <v>2.7673725825934299</v>
      </c>
      <c r="Q2">
        <v>8.0361552006526704</v>
      </c>
      <c r="R2">
        <v>9.4209932660824194</v>
      </c>
      <c r="S2">
        <v>5.1325886386949602</v>
      </c>
      <c r="T2">
        <v>7.0572334901240499</v>
      </c>
      <c r="U2">
        <v>7.0810276569107197E-2</v>
      </c>
      <c r="V2">
        <v>1.27738825497749</v>
      </c>
      <c r="W2">
        <v>1.53986</v>
      </c>
      <c r="X2">
        <v>68.817530850611405</v>
      </c>
      <c r="Y2">
        <v>1</v>
      </c>
    </row>
    <row r="3" spans="1:25" x14ac:dyDescent="0.25">
      <c r="A3">
        <v>24</v>
      </c>
      <c r="B3">
        <v>1.5</v>
      </c>
      <c r="C3" s="1">
        <v>1000000</v>
      </c>
      <c r="D3">
        <v>1</v>
      </c>
      <c r="E3">
        <v>0</v>
      </c>
      <c r="F3">
        <v>0.60487500000000005</v>
      </c>
      <c r="G3">
        <v>3.60487</v>
      </c>
      <c r="H3">
        <v>0.60487500000000005</v>
      </c>
      <c r="I3">
        <v>0</v>
      </c>
      <c r="J3">
        <v>1.72704695774422</v>
      </c>
      <c r="K3">
        <v>1.73383608304631</v>
      </c>
      <c r="L3">
        <v>11.7881464486406</v>
      </c>
      <c r="M3">
        <v>34.841424637477402</v>
      </c>
      <c r="N3">
        <v>0.23724180562241301</v>
      </c>
      <c r="O3">
        <v>4.1887902331191604</v>
      </c>
      <c r="P3">
        <v>2.76275709236358</v>
      </c>
      <c r="Q3">
        <v>8.0305529843320702</v>
      </c>
      <c r="R3">
        <v>9.4209932686605402</v>
      </c>
      <c r="S3">
        <v>5.1254356034715904</v>
      </c>
      <c r="T3">
        <v>7.0572334978490998</v>
      </c>
      <c r="U3">
        <v>7.0866961715337795E-2</v>
      </c>
      <c r="V3">
        <v>1.27649861478874</v>
      </c>
      <c r="W3">
        <v>1.53952</v>
      </c>
      <c r="X3">
        <v>68.940453336442303</v>
      </c>
      <c r="Y3">
        <v>1</v>
      </c>
    </row>
    <row r="4" spans="1:25" x14ac:dyDescent="0.25">
      <c r="A4">
        <v>24</v>
      </c>
      <c r="B4">
        <v>1.5</v>
      </c>
      <c r="C4" s="1">
        <v>1000000</v>
      </c>
      <c r="D4">
        <v>1</v>
      </c>
      <c r="E4">
        <v>0</v>
      </c>
      <c r="F4">
        <v>0.60524999999999995</v>
      </c>
      <c r="G4">
        <v>3.6052499999999998</v>
      </c>
      <c r="H4">
        <v>0.60524999999999995</v>
      </c>
      <c r="I4">
        <v>0</v>
      </c>
      <c r="J4">
        <v>1.7205387007964199</v>
      </c>
      <c r="K4">
        <v>1.7273061603497299</v>
      </c>
      <c r="L4">
        <v>11.7840841368944</v>
      </c>
      <c r="M4">
        <v>34.843887975032501</v>
      </c>
      <c r="N4">
        <v>0.23730503961205901</v>
      </c>
      <c r="O4">
        <v>4.1887902339101304</v>
      </c>
      <c r="P4">
        <v>2.7581517941404501</v>
      </c>
      <c r="Q4">
        <v>8.0249535387553106</v>
      </c>
      <c r="R4">
        <v>9.4209932698001495</v>
      </c>
      <c r="S4">
        <v>5.1182923945279901</v>
      </c>
      <c r="T4">
        <v>7.0572335012638296</v>
      </c>
      <c r="U4">
        <v>7.0916206108868493E-2</v>
      </c>
      <c r="V4">
        <v>1.27561073329161</v>
      </c>
      <c r="W4">
        <v>1.53918</v>
      </c>
      <c r="X4">
        <v>69.063746680373598</v>
      </c>
      <c r="Y4">
        <v>1</v>
      </c>
    </row>
    <row r="5" spans="1:25" x14ac:dyDescent="0.25">
      <c r="A5">
        <v>24</v>
      </c>
      <c r="B5">
        <v>1.5</v>
      </c>
      <c r="C5" s="1">
        <v>1000000</v>
      </c>
      <c r="D5">
        <v>1</v>
      </c>
      <c r="E5">
        <v>0</v>
      </c>
      <c r="F5">
        <v>0.60562499999999997</v>
      </c>
      <c r="G5">
        <v>3.60562</v>
      </c>
      <c r="H5">
        <v>0.60562499999999997</v>
      </c>
      <c r="I5">
        <v>0</v>
      </c>
      <c r="J5">
        <v>1.7140487119652099</v>
      </c>
      <c r="K5">
        <v>1.7207956544694001</v>
      </c>
      <c r="L5">
        <v>11.7800370717157</v>
      </c>
      <c r="M5">
        <v>34.846361545393499</v>
      </c>
      <c r="N5">
        <v>0.23634804353112501</v>
      </c>
      <c r="O5">
        <v>4.18879023475181</v>
      </c>
      <c r="P5">
        <v>2.7535547520394901</v>
      </c>
      <c r="Q5">
        <v>8.0193567696895691</v>
      </c>
      <c r="R5">
        <v>9.4209932692515395</v>
      </c>
      <c r="S5">
        <v>5.11115466817109</v>
      </c>
      <c r="T5">
        <v>7.0572334996199801</v>
      </c>
      <c r="U5">
        <v>7.09708855472682E-2</v>
      </c>
      <c r="V5">
        <v>1.27472046085807</v>
      </c>
      <c r="W5">
        <v>1.53884</v>
      </c>
      <c r="X5">
        <v>69.186415788327594</v>
      </c>
      <c r="Y5">
        <v>1</v>
      </c>
    </row>
    <row r="6" spans="1:25" x14ac:dyDescent="0.25">
      <c r="A6">
        <v>24</v>
      </c>
      <c r="B6">
        <v>1.5</v>
      </c>
      <c r="C6" s="1">
        <v>1000000</v>
      </c>
      <c r="D6">
        <v>1</v>
      </c>
      <c r="E6">
        <v>0</v>
      </c>
      <c r="F6">
        <v>0.60599999999999998</v>
      </c>
      <c r="G6">
        <v>3.6059999999999999</v>
      </c>
      <c r="H6">
        <v>0.60599999999999998</v>
      </c>
      <c r="I6">
        <v>0</v>
      </c>
      <c r="J6">
        <v>1.7075835236858199</v>
      </c>
      <c r="K6">
        <v>1.71430864850653</v>
      </c>
      <c r="L6">
        <v>11.776005270013499</v>
      </c>
      <c r="M6">
        <v>34.8488418807191</v>
      </c>
      <c r="N6">
        <v>0.23504255949977801</v>
      </c>
      <c r="O6">
        <v>4.1887902354267004</v>
      </c>
      <c r="P6">
        <v>2.7489689648932001</v>
      </c>
      <c r="Q6">
        <v>8.0137624341674201</v>
      </c>
      <c r="R6">
        <v>9.4209932688282407</v>
      </c>
      <c r="S6">
        <v>5.10402624486977</v>
      </c>
      <c r="T6">
        <v>7.05723349835164</v>
      </c>
      <c r="U6">
        <v>7.1020176063632506E-2</v>
      </c>
      <c r="V6">
        <v>1.2738320553031901</v>
      </c>
      <c r="W6">
        <v>1.5384899999999999</v>
      </c>
      <c r="X6">
        <v>69.309242949474296</v>
      </c>
      <c r="Y6">
        <v>1</v>
      </c>
    </row>
    <row r="7" spans="1:25" x14ac:dyDescent="0.25">
      <c r="A7">
        <v>24</v>
      </c>
      <c r="B7">
        <v>1.5</v>
      </c>
      <c r="C7" s="1">
        <v>1000000</v>
      </c>
      <c r="D7">
        <v>1</v>
      </c>
      <c r="E7">
        <v>0</v>
      </c>
      <c r="F7">
        <v>0.606375</v>
      </c>
      <c r="G7">
        <v>3.6063700000000001</v>
      </c>
      <c r="H7">
        <v>0.606375</v>
      </c>
      <c r="I7">
        <v>0</v>
      </c>
      <c r="J7">
        <v>1.7011403455516201</v>
      </c>
      <c r="K7">
        <v>1.7078434699560301</v>
      </c>
      <c r="L7">
        <v>11.771988657330899</v>
      </c>
      <c r="M7">
        <v>34.8513297810089</v>
      </c>
      <c r="N7">
        <v>0.232984133343908</v>
      </c>
      <c r="O7">
        <v>4.1887902359916396</v>
      </c>
      <c r="P7">
        <v>2.7443930052546799</v>
      </c>
      <c r="Q7">
        <v>8.0081710975312692</v>
      </c>
      <c r="R7">
        <v>9.4209932676937598</v>
      </c>
      <c r="S7">
        <v>5.0969061646762102</v>
      </c>
      <c r="T7">
        <v>7.0572334949523103</v>
      </c>
      <c r="U7">
        <v>7.1067665765076102E-2</v>
      </c>
      <c r="V7">
        <v>1.2729437923368701</v>
      </c>
      <c r="W7">
        <v>1.5381499999999999</v>
      </c>
      <c r="X7">
        <v>69.431842621845206</v>
      </c>
      <c r="Y7">
        <v>1</v>
      </c>
    </row>
    <row r="8" spans="1:25" x14ac:dyDescent="0.25">
      <c r="A8">
        <v>24</v>
      </c>
      <c r="B8">
        <v>1.5</v>
      </c>
      <c r="C8" s="1">
        <v>1000000</v>
      </c>
      <c r="D8">
        <v>1</v>
      </c>
      <c r="E8">
        <v>0</v>
      </c>
      <c r="F8">
        <v>0.60675000000000001</v>
      </c>
      <c r="G8">
        <v>3.6067499999999999</v>
      </c>
      <c r="H8">
        <v>0.60675000000000001</v>
      </c>
      <c r="I8">
        <v>0</v>
      </c>
      <c r="J8">
        <v>1.69471967486</v>
      </c>
      <c r="K8">
        <v>1.70139999145802</v>
      </c>
      <c r="L8">
        <v>11.7679871941538</v>
      </c>
      <c r="M8">
        <v>34.853825252324498</v>
      </c>
      <c r="N8">
        <v>0.23007455504148</v>
      </c>
      <c r="O8">
        <v>4.1887902363863896</v>
      </c>
      <c r="P8">
        <v>2.7398268096620999</v>
      </c>
      <c r="Q8">
        <v>8.0025828014936096</v>
      </c>
      <c r="R8">
        <v>9.4209932659464606</v>
      </c>
      <c r="S8">
        <v>5.08979437802493</v>
      </c>
      <c r="T8">
        <v>7.0572334897167401</v>
      </c>
      <c r="U8">
        <v>7.1113790241238206E-2</v>
      </c>
      <c r="V8">
        <v>1.2720554272411799</v>
      </c>
      <c r="W8">
        <v>1.5378099999999999</v>
      </c>
      <c r="X8">
        <v>69.554206301649302</v>
      </c>
      <c r="Y8">
        <v>1</v>
      </c>
    </row>
    <row r="9" spans="1:25" x14ac:dyDescent="0.25">
      <c r="A9">
        <v>24</v>
      </c>
      <c r="B9">
        <v>1.5</v>
      </c>
      <c r="C9" s="1">
        <v>1000000</v>
      </c>
      <c r="D9">
        <v>1</v>
      </c>
      <c r="E9">
        <v>0</v>
      </c>
      <c r="F9">
        <v>0.60712500000000003</v>
      </c>
      <c r="G9">
        <v>3.6071200000000001</v>
      </c>
      <c r="H9">
        <v>0.60712500000000003</v>
      </c>
      <c r="I9">
        <v>0</v>
      </c>
      <c r="J9">
        <v>1.68832224794471</v>
      </c>
      <c r="K9">
        <v>1.69497819807062</v>
      </c>
      <c r="L9">
        <v>11.764000842261</v>
      </c>
      <c r="M9">
        <v>34.856328078093902</v>
      </c>
      <c r="N9">
        <v>0.226306008335594</v>
      </c>
      <c r="O9">
        <v>4.1887902365572103</v>
      </c>
      <c r="P9">
        <v>2.7352703323415999</v>
      </c>
      <c r="Q9">
        <v>7.9969977289981902</v>
      </c>
      <c r="R9">
        <v>9.4209932637095708</v>
      </c>
      <c r="S9">
        <v>5.0826910805495897</v>
      </c>
      <c r="T9">
        <v>7.0572334830142003</v>
      </c>
      <c r="U9">
        <v>7.1158725712421295E-2</v>
      </c>
      <c r="V9">
        <v>1.2711669980512801</v>
      </c>
      <c r="W9">
        <v>1.5374699999999999</v>
      </c>
      <c r="X9">
        <v>69.676303431406197</v>
      </c>
      <c r="Y9">
        <v>1</v>
      </c>
    </row>
    <row r="10" spans="1:25" x14ac:dyDescent="0.25">
      <c r="A10">
        <v>24</v>
      </c>
      <c r="B10">
        <v>1.5</v>
      </c>
      <c r="C10" s="1">
        <v>1000000</v>
      </c>
      <c r="D10">
        <v>1</v>
      </c>
      <c r="E10">
        <v>0</v>
      </c>
      <c r="F10">
        <v>0.60750000000000004</v>
      </c>
      <c r="G10">
        <v>3.6074999999999999</v>
      </c>
      <c r="H10">
        <v>0.60750000000000004</v>
      </c>
      <c r="I10">
        <v>0</v>
      </c>
      <c r="J10">
        <v>1.6819492298782699</v>
      </c>
      <c r="K10">
        <v>1.68857799938397</v>
      </c>
      <c r="L10">
        <v>11.760029556776599</v>
      </c>
      <c r="M10">
        <v>34.8588382834741</v>
      </c>
      <c r="N10">
        <v>0.22182223795001299</v>
      </c>
      <c r="O10">
        <v>4.1887902364753504</v>
      </c>
      <c r="P10">
        <v>2.73072356169228</v>
      </c>
      <c r="Q10">
        <v>7.9914158252048102</v>
      </c>
      <c r="R10">
        <v>9.4209932610936598</v>
      </c>
      <c r="S10">
        <v>5.0755961959523201</v>
      </c>
      <c r="T10">
        <v>7.0572334751759396</v>
      </c>
      <c r="U10">
        <v>7.1202594962824703E-2</v>
      </c>
      <c r="V10">
        <v>1.27027853730032</v>
      </c>
      <c r="W10">
        <v>1.53712</v>
      </c>
      <c r="X10">
        <v>69.7981160039282</v>
      </c>
      <c r="Y10">
        <v>1</v>
      </c>
    </row>
    <row r="11" spans="1:25" x14ac:dyDescent="0.25">
      <c r="A11">
        <v>24</v>
      </c>
      <c r="B11">
        <v>1.5</v>
      </c>
      <c r="C11" s="1">
        <v>1000000</v>
      </c>
      <c r="D11">
        <v>1</v>
      </c>
      <c r="E11">
        <v>0</v>
      </c>
      <c r="F11">
        <v>0.60787500000000005</v>
      </c>
      <c r="G11">
        <v>3.6078700000000001</v>
      </c>
      <c r="H11">
        <v>0.60787500000000005</v>
      </c>
      <c r="I11">
        <v>0</v>
      </c>
      <c r="J11">
        <v>1.6756020370676901</v>
      </c>
      <c r="K11">
        <v>1.6821992493012901</v>
      </c>
      <c r="L11">
        <v>11.756073299700001</v>
      </c>
      <c r="M11">
        <v>34.861356000825303</v>
      </c>
      <c r="N11">
        <v>0.21702100260737101</v>
      </c>
      <c r="O11">
        <v>4.1887902361560601</v>
      </c>
      <c r="P11">
        <v>2.7261864730945198</v>
      </c>
      <c r="Q11">
        <v>7.9858370034261004</v>
      </c>
      <c r="R11">
        <v>9.4209932582461704</v>
      </c>
      <c r="S11">
        <v>5.06850953823339</v>
      </c>
      <c r="T11">
        <v>7.0572334666437699</v>
      </c>
      <c r="U11">
        <v>7.1245769833095801E-2</v>
      </c>
      <c r="V11">
        <v>1.26938993885708</v>
      </c>
      <c r="W11">
        <v>1.53678</v>
      </c>
      <c r="X11">
        <v>69.919625050488705</v>
      </c>
      <c r="Y11">
        <v>1</v>
      </c>
    </row>
    <row r="12" spans="1:25" x14ac:dyDescent="0.25">
      <c r="A12">
        <v>24</v>
      </c>
      <c r="B12">
        <v>1.5</v>
      </c>
      <c r="C12" s="1">
        <v>1000000</v>
      </c>
      <c r="D12">
        <v>1</v>
      </c>
      <c r="E12">
        <v>0</v>
      </c>
      <c r="F12">
        <v>0.60824999999999996</v>
      </c>
      <c r="G12">
        <v>3.60825</v>
      </c>
      <c r="H12">
        <v>0.60824999999999996</v>
      </c>
      <c r="I12">
        <v>0</v>
      </c>
      <c r="J12">
        <v>1.6692831559999499</v>
      </c>
      <c r="K12">
        <v>1.6758417092956099</v>
      </c>
      <c r="L12">
        <v>11.7521320319122</v>
      </c>
      <c r="M12">
        <v>34.863881634270498</v>
      </c>
      <c r="N12">
        <v>0.21254961516912099</v>
      </c>
      <c r="O12">
        <v>4.1887902356642401</v>
      </c>
      <c r="P12">
        <v>2.7216590662444098</v>
      </c>
      <c r="Q12">
        <v>7.9802609204521699</v>
      </c>
      <c r="R12">
        <v>9.4209932553431006</v>
      </c>
      <c r="S12">
        <v>5.0614306227808603</v>
      </c>
      <c r="T12">
        <v>7.0572334579450802</v>
      </c>
      <c r="U12">
        <v>7.1288643653274003E-2</v>
      </c>
      <c r="V12">
        <v>1.2685011185119299</v>
      </c>
      <c r="W12">
        <v>1.53644</v>
      </c>
      <c r="X12">
        <v>70.040801529297596</v>
      </c>
      <c r="Y12">
        <v>1</v>
      </c>
    </row>
    <row r="13" spans="1:25" x14ac:dyDescent="0.25">
      <c r="A13">
        <v>24</v>
      </c>
      <c r="B13">
        <v>1.5</v>
      </c>
      <c r="C13" s="1">
        <v>1000000</v>
      </c>
      <c r="D13">
        <v>1</v>
      </c>
      <c r="E13">
        <v>0</v>
      </c>
      <c r="F13">
        <v>0.60862499999999997</v>
      </c>
      <c r="G13">
        <v>3.6086299999999998</v>
      </c>
      <c r="H13">
        <v>0.60862499999999997</v>
      </c>
      <c r="I13">
        <v>0</v>
      </c>
      <c r="J13">
        <v>1.6629970516083801</v>
      </c>
      <c r="K13">
        <v>1.6695050051584099</v>
      </c>
      <c r="L13">
        <v>11.748205716024099</v>
      </c>
      <c r="M13">
        <v>34.866415959492002</v>
      </c>
      <c r="N13">
        <v>0.209277110939941</v>
      </c>
      <c r="O13">
        <v>4.1887902351124504</v>
      </c>
      <c r="P13">
        <v>2.71714136199811</v>
      </c>
      <c r="Q13">
        <v>7.9746869113798402</v>
      </c>
      <c r="R13">
        <v>9.4209932526085396</v>
      </c>
      <c r="S13">
        <v>5.0543585603106296</v>
      </c>
      <c r="T13">
        <v>7.0572334497513003</v>
      </c>
      <c r="U13">
        <v>7.1331732510770296E-2</v>
      </c>
      <c r="V13">
        <v>1.26761195808252</v>
      </c>
      <c r="W13">
        <v>1.5361</v>
      </c>
      <c r="X13">
        <v>70.161600155622494</v>
      </c>
      <c r="Y13">
        <v>1</v>
      </c>
    </row>
    <row r="14" spans="1:25" x14ac:dyDescent="0.25">
      <c r="A14">
        <v>24</v>
      </c>
      <c r="B14">
        <v>1.5</v>
      </c>
      <c r="C14" s="1">
        <v>1000000</v>
      </c>
      <c r="D14">
        <v>1</v>
      </c>
      <c r="E14">
        <v>0</v>
      </c>
      <c r="F14">
        <v>0.60899999999999999</v>
      </c>
      <c r="G14">
        <v>3.609</v>
      </c>
      <c r="H14">
        <v>0.60899999999999999</v>
      </c>
      <c r="I14">
        <v>0</v>
      </c>
      <c r="J14">
        <v>1.6565209550159401</v>
      </c>
      <c r="K14">
        <v>1.66300047794447</v>
      </c>
      <c r="L14">
        <v>11.744281882702101</v>
      </c>
      <c r="M14">
        <v>34.869320098228698</v>
      </c>
      <c r="N14">
        <v>0.20742694910809301</v>
      </c>
      <c r="O14">
        <v>4.1887902254105898</v>
      </c>
      <c r="P14">
        <v>2.7125919623089101</v>
      </c>
      <c r="Q14">
        <v>7.9687893989712402</v>
      </c>
      <c r="R14">
        <v>9.4209933343666794</v>
      </c>
      <c r="S14">
        <v>5.04688468025841</v>
      </c>
      <c r="T14">
        <v>7.0572336947293701</v>
      </c>
      <c r="U14">
        <v>7.1675573482902599E-2</v>
      </c>
      <c r="V14">
        <v>1.2667006357411601</v>
      </c>
      <c r="W14">
        <v>1.5358099999999999</v>
      </c>
      <c r="X14">
        <v>70.242703525868706</v>
      </c>
      <c r="Y14">
        <v>1</v>
      </c>
    </row>
    <row r="15" spans="1:25" x14ac:dyDescent="0.25">
      <c r="A15">
        <v>24</v>
      </c>
      <c r="B15">
        <v>1.5</v>
      </c>
      <c r="C15" s="1">
        <v>1000000</v>
      </c>
      <c r="D15">
        <v>1</v>
      </c>
      <c r="E15">
        <v>0</v>
      </c>
      <c r="F15">
        <v>0.609375</v>
      </c>
      <c r="G15">
        <v>3.6093799999999998</v>
      </c>
      <c r="H15">
        <v>0.609375</v>
      </c>
      <c r="I15">
        <v>0</v>
      </c>
      <c r="J15">
        <v>1.64994537067307</v>
      </c>
      <c r="K15">
        <v>1.65668802686961</v>
      </c>
      <c r="L15">
        <v>11.7403865374673</v>
      </c>
      <c r="M15">
        <v>34.871938262732201</v>
      </c>
      <c r="N15">
        <v>0.19126432335704399</v>
      </c>
      <c r="O15">
        <v>4.1887902242551203</v>
      </c>
      <c r="P15">
        <v>2.7081050559722999</v>
      </c>
      <c r="Q15">
        <v>7.9631565774416302</v>
      </c>
      <c r="R15">
        <v>9.4209933470314908</v>
      </c>
      <c r="S15">
        <v>5.0397547958872897</v>
      </c>
      <c r="T15">
        <v>7.0572337326779904</v>
      </c>
      <c r="U15">
        <v>7.1772397913195202E-2</v>
      </c>
      <c r="V15">
        <v>1.2658099170628001</v>
      </c>
      <c r="W15">
        <v>1.5355000000000001</v>
      </c>
      <c r="X15">
        <v>70.357528032910594</v>
      </c>
      <c r="Y15">
        <v>1</v>
      </c>
    </row>
    <row r="16" spans="1:25" x14ac:dyDescent="0.25">
      <c r="A16">
        <v>24</v>
      </c>
      <c r="B16">
        <v>1.5</v>
      </c>
      <c r="C16" s="1">
        <v>1000000</v>
      </c>
      <c r="D16">
        <v>1</v>
      </c>
      <c r="E16">
        <v>0</v>
      </c>
      <c r="F16">
        <v>0.60975000000000001</v>
      </c>
      <c r="G16">
        <v>3.60975</v>
      </c>
      <c r="H16">
        <v>0.60975000000000001</v>
      </c>
      <c r="I16">
        <v>0</v>
      </c>
      <c r="J16">
        <v>1.6435431419683599</v>
      </c>
      <c r="K16">
        <v>1.6503861267796001</v>
      </c>
      <c r="L16">
        <v>11.736505679337199</v>
      </c>
      <c r="M16">
        <v>34.8745602284556</v>
      </c>
      <c r="N16">
        <v>0.204166126679936</v>
      </c>
      <c r="O16">
        <v>4.1887902260520899</v>
      </c>
      <c r="P16">
        <v>2.7036128290754702</v>
      </c>
      <c r="Q16">
        <v>7.95752991794624</v>
      </c>
      <c r="R16">
        <v>9.4209933563100403</v>
      </c>
      <c r="S16">
        <v>5.0326365974554603</v>
      </c>
      <c r="T16">
        <v>7.0572337604800701</v>
      </c>
      <c r="U16">
        <v>7.1849358199233798E-2</v>
      </c>
      <c r="V16">
        <v>1.2649208859752401</v>
      </c>
      <c r="W16">
        <v>1.5351999999999999</v>
      </c>
      <c r="X16">
        <v>70.474610489757495</v>
      </c>
      <c r="Y16">
        <v>1</v>
      </c>
    </row>
    <row r="17" spans="1:25" x14ac:dyDescent="0.25">
      <c r="A17">
        <v>24</v>
      </c>
      <c r="B17">
        <v>1.5</v>
      </c>
      <c r="C17" s="1">
        <v>1000000</v>
      </c>
      <c r="D17">
        <v>1</v>
      </c>
      <c r="E17">
        <v>0</v>
      </c>
      <c r="F17">
        <v>0.61012500000000003</v>
      </c>
      <c r="G17">
        <v>3.6101299999999998</v>
      </c>
      <c r="H17">
        <v>0.61012500000000003</v>
      </c>
      <c r="I17">
        <v>0</v>
      </c>
      <c r="J17">
        <v>1.63738911908617</v>
      </c>
      <c r="K17">
        <v>1.6441119447583701</v>
      </c>
      <c r="L17">
        <v>11.732639169030399</v>
      </c>
      <c r="M17">
        <v>34.877176239731199</v>
      </c>
      <c r="N17">
        <v>0.22057581166086199</v>
      </c>
      <c r="O17">
        <v>4.18879022720275</v>
      </c>
      <c r="P17">
        <v>2.6991317675668398</v>
      </c>
      <c r="Q17">
        <v>7.9519176687064599</v>
      </c>
      <c r="R17">
        <v>9.42099336216884</v>
      </c>
      <c r="S17">
        <v>5.0255406113340602</v>
      </c>
      <c r="T17">
        <v>7.0572337780352798</v>
      </c>
      <c r="U17">
        <v>7.1907830256793107E-2</v>
      </c>
      <c r="V17">
        <v>1.26403413013113</v>
      </c>
      <c r="W17">
        <v>1.5348999999999999</v>
      </c>
      <c r="X17">
        <v>70.594068169143895</v>
      </c>
      <c r="Y17">
        <v>1</v>
      </c>
    </row>
    <row r="18" spans="1:25" x14ac:dyDescent="0.25">
      <c r="A18">
        <v>24</v>
      </c>
      <c r="B18">
        <v>1.5</v>
      </c>
      <c r="C18" s="1">
        <v>1000000</v>
      </c>
      <c r="D18">
        <v>1</v>
      </c>
      <c r="E18">
        <v>0</v>
      </c>
      <c r="F18">
        <v>0.61050000000000004</v>
      </c>
      <c r="G18">
        <v>3.6105</v>
      </c>
      <c r="H18">
        <v>0.61050000000000004</v>
      </c>
      <c r="I18">
        <v>0</v>
      </c>
      <c r="J18">
        <v>1.6312687816706599</v>
      </c>
      <c r="K18">
        <v>1.63786782059188</v>
      </c>
      <c r="L18">
        <v>11.728787027155199</v>
      </c>
      <c r="M18">
        <v>34.879780064215502</v>
      </c>
      <c r="N18">
        <v>0.23113576160364899</v>
      </c>
      <c r="O18">
        <v>4.1887902279753302</v>
      </c>
      <c r="P18">
        <v>2.69466162721764</v>
      </c>
      <c r="Q18">
        <v>7.9463247111484296</v>
      </c>
      <c r="R18">
        <v>9.4209933651192799</v>
      </c>
      <c r="S18">
        <v>5.0184736839152499</v>
      </c>
      <c r="T18">
        <v>7.0572337868759298</v>
      </c>
      <c r="U18">
        <v>7.1955712290683996E-2</v>
      </c>
      <c r="V18">
        <v>1.26314958907668</v>
      </c>
      <c r="W18">
        <v>1.53461</v>
      </c>
      <c r="X18">
        <v>70.714361555581803</v>
      </c>
      <c r="Y18">
        <v>1</v>
      </c>
    </row>
    <row r="19" spans="1:25" x14ac:dyDescent="0.25">
      <c r="A19">
        <v>24</v>
      </c>
      <c r="B19">
        <v>1.5</v>
      </c>
      <c r="C19" s="1">
        <v>1000000</v>
      </c>
      <c r="D19">
        <v>1</v>
      </c>
      <c r="E19">
        <v>0</v>
      </c>
      <c r="F19">
        <v>0.61087499999999995</v>
      </c>
      <c r="G19">
        <v>3.6108799999999999</v>
      </c>
      <c r="H19">
        <v>0.61087499999999995</v>
      </c>
      <c r="I19">
        <v>0</v>
      </c>
      <c r="J19">
        <v>1.6252421884892501</v>
      </c>
      <c r="K19">
        <v>1.63145689104194</v>
      </c>
      <c r="L19">
        <v>11.7249628553416</v>
      </c>
      <c r="M19">
        <v>34.8826761927482</v>
      </c>
      <c r="N19">
        <v>0.19029980596141399</v>
      </c>
      <c r="O19">
        <v>4.1887902090333604</v>
      </c>
      <c r="P19">
        <v>2.6901109953132498</v>
      </c>
      <c r="Q19">
        <v>7.9405598908824304</v>
      </c>
      <c r="R19">
        <v>9.4209934373945803</v>
      </c>
      <c r="S19">
        <v>5.0111176322231001</v>
      </c>
      <c r="T19">
        <v>7.0572340034403096</v>
      </c>
      <c r="U19">
        <v>7.2209419022615504E-2</v>
      </c>
      <c r="V19">
        <v>1.26215449388951</v>
      </c>
      <c r="W19">
        <v>1.53427</v>
      </c>
      <c r="X19">
        <v>70.883715147450701</v>
      </c>
      <c r="Y19">
        <v>1</v>
      </c>
    </row>
    <row r="20" spans="1:25" x14ac:dyDescent="0.25">
      <c r="A20">
        <v>24</v>
      </c>
      <c r="B20">
        <v>1.5</v>
      </c>
      <c r="C20" s="1">
        <v>1000000</v>
      </c>
      <c r="D20">
        <v>1</v>
      </c>
      <c r="E20">
        <v>0</v>
      </c>
      <c r="F20">
        <v>0.61124999999999996</v>
      </c>
      <c r="G20">
        <v>3.6112500000000001</v>
      </c>
      <c r="H20">
        <v>0.61124999999999996</v>
      </c>
      <c r="I20">
        <v>0</v>
      </c>
      <c r="J20">
        <v>1.61907067453533</v>
      </c>
      <c r="K20">
        <v>1.62525846033689</v>
      </c>
      <c r="L20">
        <v>11.7211397455349</v>
      </c>
      <c r="M20">
        <v>34.885292993674099</v>
      </c>
      <c r="N20">
        <v>0.19169631253181901</v>
      </c>
      <c r="O20">
        <v>4.1887902088413904</v>
      </c>
      <c r="P20">
        <v>2.6856633571624098</v>
      </c>
      <c r="Q20">
        <v>7.9349691821905797</v>
      </c>
      <c r="R20">
        <v>9.4209934393793606</v>
      </c>
      <c r="S20">
        <v>5.0040682763128101</v>
      </c>
      <c r="T20">
        <v>7.0572340093874804</v>
      </c>
      <c r="U20">
        <v>7.2263050343245802E-2</v>
      </c>
      <c r="V20">
        <v>1.2612738741163201</v>
      </c>
      <c r="W20">
        <v>1.5339400000000001</v>
      </c>
      <c r="X20">
        <v>71.002998500890897</v>
      </c>
      <c r="Y20">
        <v>1</v>
      </c>
    </row>
    <row r="21" spans="1:25" x14ac:dyDescent="0.25">
      <c r="A21">
        <v>24</v>
      </c>
      <c r="B21">
        <v>1.5</v>
      </c>
      <c r="C21" s="1">
        <v>1000000</v>
      </c>
      <c r="D21">
        <v>1</v>
      </c>
      <c r="E21">
        <v>0</v>
      </c>
      <c r="F21">
        <v>0.61162499999999997</v>
      </c>
      <c r="G21">
        <v>3.6116299999999999</v>
      </c>
      <c r="H21">
        <v>0.61162499999999997</v>
      </c>
      <c r="I21">
        <v>0</v>
      </c>
      <c r="J21">
        <v>1.6129174404307101</v>
      </c>
      <c r="K21">
        <v>1.6190793974425099</v>
      </c>
      <c r="L21">
        <v>11.7173311779346</v>
      </c>
      <c r="M21">
        <v>34.887918931424799</v>
      </c>
      <c r="N21">
        <v>0.19289374703242401</v>
      </c>
      <c r="O21">
        <v>4.1887902086119597</v>
      </c>
      <c r="P21">
        <v>2.6812244417912199</v>
      </c>
      <c r="Q21">
        <v>7.9293796218349701</v>
      </c>
      <c r="R21">
        <v>9.4209934414251997</v>
      </c>
      <c r="S21">
        <v>4.9970248373821198</v>
      </c>
      <c r="T21">
        <v>7.0572340155175901</v>
      </c>
      <c r="U21">
        <v>7.2318493361897607E-2</v>
      </c>
      <c r="V21">
        <v>1.2603950759939899</v>
      </c>
      <c r="W21">
        <v>1.53365</v>
      </c>
      <c r="X21">
        <v>71.122116359459199</v>
      </c>
      <c r="Y21">
        <v>1</v>
      </c>
    </row>
    <row r="22" spans="1:25" x14ac:dyDescent="0.25">
      <c r="A22">
        <v>24</v>
      </c>
      <c r="B22">
        <v>1.5</v>
      </c>
      <c r="C22" s="1">
        <v>1000000</v>
      </c>
      <c r="D22">
        <v>1</v>
      </c>
      <c r="E22">
        <v>0</v>
      </c>
      <c r="F22">
        <v>0.61199999999999999</v>
      </c>
      <c r="G22">
        <v>3.6120000000000001</v>
      </c>
      <c r="H22">
        <v>0.61199999999999999</v>
      </c>
      <c r="I22">
        <v>0</v>
      </c>
      <c r="J22">
        <v>1.60677918037752</v>
      </c>
      <c r="K22">
        <v>1.61292245193318</v>
      </c>
      <c r="L22">
        <v>11.713537046407501</v>
      </c>
      <c r="M22">
        <v>34.8905527931813</v>
      </c>
      <c r="N22">
        <v>0.19343611990648199</v>
      </c>
      <c r="O22">
        <v>4.1887902083923301</v>
      </c>
      <c r="P22">
        <v>2.6767971338772099</v>
      </c>
      <c r="Q22">
        <v>7.9237914437114201</v>
      </c>
      <c r="R22">
        <v>9.4209934431921791</v>
      </c>
      <c r="S22">
        <v>4.9899885257674796</v>
      </c>
      <c r="T22">
        <v>7.05723402081217</v>
      </c>
      <c r="U22">
        <v>7.2372426556678193E-2</v>
      </c>
      <c r="V22">
        <v>1.25951506059624</v>
      </c>
      <c r="W22">
        <v>1.5333600000000001</v>
      </c>
      <c r="X22">
        <v>71.240781847672807</v>
      </c>
      <c r="Y22">
        <v>1</v>
      </c>
    </row>
    <row r="23" spans="1:25" x14ac:dyDescent="0.25">
      <c r="A23">
        <v>24</v>
      </c>
      <c r="B23">
        <v>1.5</v>
      </c>
      <c r="C23" s="1">
        <v>1000000</v>
      </c>
      <c r="D23">
        <v>1</v>
      </c>
      <c r="E23">
        <v>0</v>
      </c>
      <c r="F23">
        <v>0.612375</v>
      </c>
      <c r="G23">
        <v>3.6123799999999999</v>
      </c>
      <c r="H23">
        <v>0.612375</v>
      </c>
      <c r="I23">
        <v>0</v>
      </c>
      <c r="J23">
        <v>1.6006560368646301</v>
      </c>
      <c r="K23">
        <v>1.6067863068302</v>
      </c>
      <c r="L23">
        <v>11.709757340955401</v>
      </c>
      <c r="M23">
        <v>34.893194774400001</v>
      </c>
      <c r="N23">
        <v>0.19366226312663001</v>
      </c>
      <c r="O23">
        <v>4.1887902081665001</v>
      </c>
      <c r="P23">
        <v>2.67237997013325</v>
      </c>
      <c r="Q23">
        <v>7.9182047565884002</v>
      </c>
      <c r="R23">
        <v>9.4209934448675501</v>
      </c>
      <c r="S23">
        <v>4.98295911717618</v>
      </c>
      <c r="T23">
        <v>7.0572340258322104</v>
      </c>
      <c r="U23">
        <v>7.2426864099171803E-2</v>
      </c>
      <c r="V23">
        <v>1.2586354767388199</v>
      </c>
      <c r="W23">
        <v>1.5330699999999999</v>
      </c>
      <c r="X23">
        <v>71.359114570289293</v>
      </c>
      <c r="Y23">
        <v>1</v>
      </c>
    </row>
    <row r="24" spans="1:25" x14ac:dyDescent="0.25">
      <c r="A24">
        <v>24</v>
      </c>
      <c r="B24">
        <v>1.5</v>
      </c>
      <c r="C24" s="1">
        <v>1000000</v>
      </c>
      <c r="D24">
        <v>1</v>
      </c>
      <c r="E24">
        <v>0</v>
      </c>
      <c r="F24">
        <v>0.61275000000000002</v>
      </c>
      <c r="G24">
        <v>3.6127500000000001</v>
      </c>
      <c r="H24">
        <v>0.61275000000000002</v>
      </c>
      <c r="I24">
        <v>0</v>
      </c>
      <c r="J24">
        <v>1.5945470428620501</v>
      </c>
      <c r="K24">
        <v>1.6006708322476599</v>
      </c>
      <c r="L24">
        <v>11.705992015297699</v>
      </c>
      <c r="M24">
        <v>34.8958450394083</v>
      </c>
      <c r="N24">
        <v>0.19357730117879199</v>
      </c>
      <c r="O24">
        <v>4.1887902079377399</v>
      </c>
      <c r="P24">
        <v>2.6679729592939698</v>
      </c>
      <c r="Q24">
        <v>7.9126194107596302</v>
      </c>
      <c r="R24">
        <v>9.4209934464532896</v>
      </c>
      <c r="S24">
        <v>4.9759363810761101</v>
      </c>
      <c r="T24">
        <v>7.05723403058371</v>
      </c>
      <c r="U24">
        <v>7.2482016118668599E-2</v>
      </c>
      <c r="V24">
        <v>1.25775630172557</v>
      </c>
      <c r="W24">
        <v>1.53278</v>
      </c>
      <c r="X24">
        <v>71.477122425726293</v>
      </c>
      <c r="Y24">
        <v>1</v>
      </c>
    </row>
    <row r="25" spans="1:25" x14ac:dyDescent="0.25">
      <c r="A25">
        <v>24</v>
      </c>
      <c r="B25">
        <v>1.5</v>
      </c>
      <c r="C25" s="1">
        <v>1000000</v>
      </c>
      <c r="D25">
        <v>1</v>
      </c>
      <c r="E25">
        <v>0</v>
      </c>
      <c r="F25">
        <v>0.61312500000000003</v>
      </c>
      <c r="G25">
        <v>3.61313</v>
      </c>
      <c r="H25">
        <v>0.61312500000000003</v>
      </c>
      <c r="I25">
        <v>0</v>
      </c>
      <c r="J25">
        <v>1.5884511386089499</v>
      </c>
      <c r="K25">
        <v>1.59457594602554</v>
      </c>
      <c r="L25">
        <v>11.7022410277549</v>
      </c>
      <c r="M25">
        <v>34.898503686248603</v>
      </c>
      <c r="N25">
        <v>0.19311700738380699</v>
      </c>
      <c r="O25">
        <v>4.1887902077089896</v>
      </c>
      <c r="P25">
        <v>2.6635761338608002</v>
      </c>
      <c r="Q25">
        <v>7.9070353283638903</v>
      </c>
      <c r="R25">
        <v>9.4209934479590594</v>
      </c>
      <c r="S25">
        <v>4.96892016456317</v>
      </c>
      <c r="T25">
        <v>7.0572340350955596</v>
      </c>
      <c r="U25">
        <v>7.2538089188909596E-2</v>
      </c>
      <c r="V25">
        <v>1.2568775673835999</v>
      </c>
      <c r="W25">
        <v>1.5324899999999999</v>
      </c>
      <c r="X25">
        <v>71.594807073351802</v>
      </c>
      <c r="Y25">
        <v>1</v>
      </c>
    </row>
    <row r="26" spans="1:25" x14ac:dyDescent="0.25">
      <c r="A26">
        <v>24</v>
      </c>
      <c r="B26">
        <v>1.5</v>
      </c>
      <c r="C26" s="1">
        <v>1000000</v>
      </c>
      <c r="D26">
        <v>1</v>
      </c>
      <c r="E26">
        <v>0</v>
      </c>
      <c r="F26">
        <v>0.61350000000000005</v>
      </c>
      <c r="G26">
        <v>3.6135000000000002</v>
      </c>
      <c r="H26">
        <v>0.61350000000000005</v>
      </c>
      <c r="I26">
        <v>0</v>
      </c>
      <c r="J26">
        <v>1.58236782525301</v>
      </c>
      <c r="K26">
        <v>1.5885015839512999</v>
      </c>
      <c r="L26">
        <v>11.698504339984799</v>
      </c>
      <c r="M26">
        <v>34.901170803780197</v>
      </c>
      <c r="N26">
        <v>0.192151237305942</v>
      </c>
      <c r="O26">
        <v>4.1887902074829499</v>
      </c>
      <c r="P26">
        <v>2.65918954290228</v>
      </c>
      <c r="Q26">
        <v>7.9014524513219699</v>
      </c>
      <c r="R26">
        <v>9.4209934493980008</v>
      </c>
      <c r="S26">
        <v>4.9619103284330901</v>
      </c>
      <c r="T26">
        <v>7.0572340394072004</v>
      </c>
      <c r="U26">
        <v>7.25952817590889E-2</v>
      </c>
      <c r="V26">
        <v>1.2559993453804199</v>
      </c>
      <c r="W26">
        <v>1.5322</v>
      </c>
      <c r="X26">
        <v>71.712163307708707</v>
      </c>
      <c r="Y26">
        <v>1</v>
      </c>
    </row>
    <row r="27" spans="1:25" x14ac:dyDescent="0.25">
      <c r="A27">
        <v>24</v>
      </c>
      <c r="B27">
        <v>1.5</v>
      </c>
      <c r="C27" s="1">
        <v>1000000</v>
      </c>
      <c r="D27">
        <v>1</v>
      </c>
      <c r="E27">
        <v>0</v>
      </c>
      <c r="F27">
        <v>0.61387499999999995</v>
      </c>
      <c r="G27">
        <v>3.61388</v>
      </c>
      <c r="H27">
        <v>0.61387499999999995</v>
      </c>
      <c r="I27">
        <v>0</v>
      </c>
      <c r="J27">
        <v>1.5762967492579101</v>
      </c>
      <c r="K27">
        <v>1.58244733486852</v>
      </c>
      <c r="L27">
        <v>11.6947818789561</v>
      </c>
      <c r="M27">
        <v>34.903847227515797</v>
      </c>
      <c r="N27">
        <v>0.19046951957284999</v>
      </c>
      <c r="O27">
        <v>4.1887902072593999</v>
      </c>
      <c r="P27">
        <v>2.6548132080227198</v>
      </c>
      <c r="Q27">
        <v>7.8958701666064197</v>
      </c>
      <c r="R27">
        <v>9.4209934507318902</v>
      </c>
      <c r="S27">
        <v>4.9549058780510098</v>
      </c>
      <c r="T27">
        <v>7.0572340434040299</v>
      </c>
      <c r="U27">
        <v>7.2653764639218202E-2</v>
      </c>
      <c r="V27">
        <v>1.25512120099242</v>
      </c>
      <c r="W27">
        <v>1.5319199999999999</v>
      </c>
      <c r="X27">
        <v>71.829232032596096</v>
      </c>
      <c r="Y27">
        <v>1</v>
      </c>
    </row>
    <row r="28" spans="1:25" x14ac:dyDescent="0.25">
      <c r="A28">
        <v>24</v>
      </c>
      <c r="B28">
        <v>1.5</v>
      </c>
      <c r="C28" s="1">
        <v>1000000</v>
      </c>
      <c r="D28">
        <v>1</v>
      </c>
      <c r="E28">
        <v>0</v>
      </c>
      <c r="F28">
        <v>0.61424999999999996</v>
      </c>
      <c r="G28">
        <v>3.6142500000000002</v>
      </c>
      <c r="H28">
        <v>0.61424999999999996</v>
      </c>
      <c r="I28">
        <v>0</v>
      </c>
      <c r="J28">
        <v>1.5702418492812</v>
      </c>
      <c r="K28">
        <v>1.5764132454615201</v>
      </c>
      <c r="L28">
        <v>11.691073603901501</v>
      </c>
      <c r="M28">
        <v>34.906532695920198</v>
      </c>
      <c r="N28">
        <v>0.187820107495485</v>
      </c>
      <c r="O28">
        <v>4.1887902070396601</v>
      </c>
      <c r="P28">
        <v>2.6504471137324801</v>
      </c>
      <c r="Q28">
        <v>7.8902884360079799</v>
      </c>
      <c r="R28">
        <v>9.4209934519754093</v>
      </c>
      <c r="S28">
        <v>4.9479070551311004</v>
      </c>
      <c r="T28">
        <v>7.0572340471301098</v>
      </c>
      <c r="U28">
        <v>7.2713338794017104E-2</v>
      </c>
      <c r="V28">
        <v>1.2542434334062</v>
      </c>
      <c r="W28">
        <v>1.53163</v>
      </c>
      <c r="X28">
        <v>71.946031215712495</v>
      </c>
      <c r="Y28">
        <v>1</v>
      </c>
    </row>
    <row r="29" spans="1:25" x14ac:dyDescent="0.25">
      <c r="A29">
        <v>24</v>
      </c>
      <c r="B29">
        <v>1.5</v>
      </c>
      <c r="C29" s="1">
        <v>1000000</v>
      </c>
      <c r="D29">
        <v>1</v>
      </c>
      <c r="E29">
        <v>0</v>
      </c>
      <c r="F29">
        <v>0.61462499999999998</v>
      </c>
      <c r="G29">
        <v>3.61463</v>
      </c>
      <c r="H29">
        <v>0.61462499999999998</v>
      </c>
      <c r="I29">
        <v>0</v>
      </c>
      <c r="J29">
        <v>1.56420999419013</v>
      </c>
      <c r="K29">
        <v>1.5703990571144</v>
      </c>
      <c r="L29">
        <v>11.6873794537393</v>
      </c>
      <c r="M29">
        <v>34.909227414002899</v>
      </c>
      <c r="N29">
        <v>0.18393193070963701</v>
      </c>
      <c r="O29">
        <v>4.18879020682731</v>
      </c>
      <c r="P29">
        <v>2.6460911342506201</v>
      </c>
      <c r="Q29">
        <v>7.8847071215737001</v>
      </c>
      <c r="R29">
        <v>9.4209934531138799</v>
      </c>
      <c r="S29">
        <v>4.9409135683594902</v>
      </c>
      <c r="T29">
        <v>7.0572340505413802</v>
      </c>
      <c r="U29">
        <v>7.2773848326795496E-2</v>
      </c>
      <c r="V29">
        <v>1.25336588425302</v>
      </c>
      <c r="W29">
        <v>1.5313399999999999</v>
      </c>
      <c r="X29">
        <v>72.062562537089306</v>
      </c>
      <c r="Y29">
        <v>1</v>
      </c>
    </row>
    <row r="30" spans="1:25" x14ac:dyDescent="0.25">
      <c r="A30">
        <v>24</v>
      </c>
      <c r="B30">
        <v>1.5</v>
      </c>
      <c r="C30" s="1">
        <v>1000000</v>
      </c>
      <c r="D30">
        <v>1</v>
      </c>
      <c r="E30">
        <v>0</v>
      </c>
      <c r="F30">
        <v>0.61499999999999999</v>
      </c>
      <c r="G30">
        <v>3.6150000000000002</v>
      </c>
      <c r="H30">
        <v>0.61499999999999999</v>
      </c>
      <c r="I30">
        <v>0</v>
      </c>
      <c r="J30">
        <v>1.5582085853474801</v>
      </c>
      <c r="K30">
        <v>1.5644043836550501</v>
      </c>
      <c r="L30">
        <v>11.683699356843899</v>
      </c>
      <c r="M30">
        <v>34.911931564790898</v>
      </c>
      <c r="N30">
        <v>0.17848577931925999</v>
      </c>
      <c r="O30">
        <v>4.1887902066240201</v>
      </c>
      <c r="P30">
        <v>2.64174496826393</v>
      </c>
      <c r="Q30">
        <v>7.8791260296451</v>
      </c>
      <c r="R30">
        <v>9.4209934541228098</v>
      </c>
      <c r="S30">
        <v>4.9339251389218699</v>
      </c>
      <c r="T30">
        <v>7.0572340535645397</v>
      </c>
      <c r="U30">
        <v>7.2835059286347897E-2</v>
      </c>
      <c r="V30">
        <v>1.2524882347525801</v>
      </c>
      <c r="W30">
        <v>1.53105</v>
      </c>
      <c r="X30">
        <v>72.178862745901199</v>
      </c>
      <c r="Y30">
        <v>1</v>
      </c>
    </row>
    <row r="31" spans="1:25" x14ac:dyDescent="0.25">
      <c r="A31">
        <v>24</v>
      </c>
      <c r="B31">
        <v>1.5</v>
      </c>
      <c r="C31" s="1">
        <v>1000000</v>
      </c>
      <c r="D31">
        <v>1</v>
      </c>
      <c r="E31">
        <v>0</v>
      </c>
      <c r="F31">
        <v>0.61537500000000001</v>
      </c>
      <c r="G31">
        <v>3.61538</v>
      </c>
      <c r="H31">
        <v>0.61537500000000001</v>
      </c>
      <c r="I31">
        <v>0</v>
      </c>
      <c r="J31">
        <v>1.5522383582388599</v>
      </c>
      <c r="K31">
        <v>1.5584275271333301</v>
      </c>
      <c r="L31">
        <v>11.6800329819601</v>
      </c>
      <c r="M31">
        <v>34.9146473232137</v>
      </c>
      <c r="N31">
        <v>0.17105003113016501</v>
      </c>
      <c r="O31">
        <v>4.1887902064221398</v>
      </c>
      <c r="P31">
        <v>2.6374077830592202</v>
      </c>
      <c r="Q31">
        <v>7.8735428394958902</v>
      </c>
      <c r="R31">
        <v>9.4209934546851795</v>
      </c>
      <c r="S31">
        <v>4.9269390224388303</v>
      </c>
      <c r="T31">
        <v>7.05723405524963</v>
      </c>
      <c r="U31">
        <v>7.2895427930777704E-2</v>
      </c>
      <c r="V31">
        <v>1.2516071500996799</v>
      </c>
      <c r="W31">
        <v>1.5307599999999999</v>
      </c>
      <c r="X31">
        <v>72.295445384310497</v>
      </c>
      <c r="Y31">
        <v>1</v>
      </c>
    </row>
    <row r="32" spans="1:25" x14ac:dyDescent="0.25">
      <c r="A32">
        <v>24</v>
      </c>
      <c r="B32">
        <v>1.5</v>
      </c>
      <c r="C32" s="1">
        <v>1000000</v>
      </c>
      <c r="D32">
        <v>1</v>
      </c>
      <c r="E32">
        <v>0</v>
      </c>
      <c r="F32">
        <v>0.61575000000000002</v>
      </c>
      <c r="G32">
        <v>3.6157499999999998</v>
      </c>
      <c r="H32">
        <v>0.61575000000000002</v>
      </c>
      <c r="I32">
        <v>0</v>
      </c>
      <c r="J32">
        <v>1.5463773903928</v>
      </c>
      <c r="K32">
        <v>1.5523529434901999</v>
      </c>
      <c r="L32">
        <v>11.676375728488701</v>
      </c>
      <c r="M32">
        <v>34.917549578147302</v>
      </c>
      <c r="N32">
        <v>0.15256325061600001</v>
      </c>
      <c r="O32">
        <v>4.1887902059384601</v>
      </c>
      <c r="P32">
        <v>2.6330258917790599</v>
      </c>
      <c r="Q32">
        <v>7.8678206762230696</v>
      </c>
      <c r="R32">
        <v>9.4209934577745997</v>
      </c>
      <c r="S32">
        <v>4.9197587523574899</v>
      </c>
      <c r="T32">
        <v>7.0572340645066998</v>
      </c>
      <c r="U32">
        <v>7.3096439390188006E-2</v>
      </c>
      <c r="V32">
        <v>1.2507745588885699</v>
      </c>
      <c r="W32">
        <v>1.53047</v>
      </c>
      <c r="X32">
        <v>72.3818811124425</v>
      </c>
      <c r="Y32">
        <v>1</v>
      </c>
    </row>
    <row r="33" spans="1:25" x14ac:dyDescent="0.25">
      <c r="A33">
        <v>24</v>
      </c>
      <c r="B33">
        <v>1.5</v>
      </c>
      <c r="C33" s="1">
        <v>1000000</v>
      </c>
      <c r="D33">
        <v>1</v>
      </c>
      <c r="E33">
        <v>0</v>
      </c>
      <c r="F33">
        <v>0.61612500000000003</v>
      </c>
      <c r="G33">
        <v>3.6161300000000001</v>
      </c>
      <c r="H33">
        <v>0.61612500000000003</v>
      </c>
      <c r="I33">
        <v>0</v>
      </c>
      <c r="J33">
        <v>1.54045243982297</v>
      </c>
      <c r="K33">
        <v>1.54641751568111</v>
      </c>
      <c r="L33">
        <v>11.6727374718227</v>
      </c>
      <c r="M33">
        <v>34.920277939412202</v>
      </c>
      <c r="N33">
        <v>0.14859107559146001</v>
      </c>
      <c r="O33">
        <v>4.18879020584765</v>
      </c>
      <c r="P33">
        <v>2.62870825415613</v>
      </c>
      <c r="Q33">
        <v>7.8622441883530403</v>
      </c>
      <c r="R33">
        <v>9.4209934581844408</v>
      </c>
      <c r="S33">
        <v>4.9127896186606099</v>
      </c>
      <c r="T33">
        <v>7.0572340657347503</v>
      </c>
      <c r="U33">
        <v>7.31559666036731E-2</v>
      </c>
      <c r="V33">
        <v>1.2498948010034601</v>
      </c>
      <c r="W33">
        <v>1.5301800000000001</v>
      </c>
      <c r="X33">
        <v>72.498030806554894</v>
      </c>
      <c r="Y33">
        <v>1</v>
      </c>
    </row>
    <row r="34" spans="1:25" x14ac:dyDescent="0.25">
      <c r="A34">
        <v>24</v>
      </c>
      <c r="B34">
        <v>1.5</v>
      </c>
      <c r="C34" s="1">
        <v>1000000</v>
      </c>
      <c r="D34">
        <v>1</v>
      </c>
      <c r="E34">
        <v>0</v>
      </c>
      <c r="F34">
        <v>0.61650000000000005</v>
      </c>
      <c r="G34">
        <v>3.6164999999999998</v>
      </c>
      <c r="H34">
        <v>0.61650000000000005</v>
      </c>
      <c r="I34">
        <v>0</v>
      </c>
      <c r="J34">
        <v>1.5352113927590201</v>
      </c>
      <c r="K34">
        <v>1.5405383443794201</v>
      </c>
      <c r="L34">
        <v>11.669101049394101</v>
      </c>
      <c r="M34">
        <v>34.923027741395302</v>
      </c>
      <c r="N34">
        <v>0.17780149518684299</v>
      </c>
      <c r="O34">
        <v>4.1887902057629196</v>
      </c>
      <c r="P34">
        <v>2.6244581717460398</v>
      </c>
      <c r="Q34">
        <v>7.8566228570610503</v>
      </c>
      <c r="R34">
        <v>9.4209934539314109</v>
      </c>
      <c r="S34">
        <v>4.9057990087071799</v>
      </c>
      <c r="T34">
        <v>7.05723405299101</v>
      </c>
      <c r="U34">
        <v>7.3097553596742304E-2</v>
      </c>
      <c r="V34">
        <v>1.24901915099625</v>
      </c>
      <c r="W34">
        <v>1.5299499999999999</v>
      </c>
      <c r="X34">
        <v>72.566853007324298</v>
      </c>
      <c r="Y34">
        <v>1</v>
      </c>
    </row>
    <row r="35" spans="1:25" x14ac:dyDescent="0.25">
      <c r="A35">
        <v>24</v>
      </c>
      <c r="B35">
        <v>1.5</v>
      </c>
      <c r="C35" s="1">
        <v>1000000</v>
      </c>
      <c r="D35">
        <v>1</v>
      </c>
      <c r="E35">
        <v>0</v>
      </c>
      <c r="F35">
        <v>0.61687499999999995</v>
      </c>
      <c r="G35">
        <v>3.6168800000000001</v>
      </c>
      <c r="H35">
        <v>0.61687499999999995</v>
      </c>
      <c r="I35">
        <v>0</v>
      </c>
      <c r="J35">
        <v>1.5297445926095701</v>
      </c>
      <c r="K35">
        <v>1.53464620696837</v>
      </c>
      <c r="L35">
        <v>11.665491113697099</v>
      </c>
      <c r="M35">
        <v>34.925769588559497</v>
      </c>
      <c r="N35">
        <v>0.179500324258248</v>
      </c>
      <c r="O35">
        <v>4.1887902057353497</v>
      </c>
      <c r="P35">
        <v>2.6201632036789499</v>
      </c>
      <c r="Q35">
        <v>7.8510502643908797</v>
      </c>
      <c r="R35">
        <v>9.4209934542853393</v>
      </c>
      <c r="S35">
        <v>4.8988461140427004</v>
      </c>
      <c r="T35">
        <v>7.0572340540515199</v>
      </c>
      <c r="U35">
        <v>7.3154514590580699E-2</v>
      </c>
      <c r="V35">
        <v>1.2481464471033299</v>
      </c>
      <c r="W35">
        <v>1.52965</v>
      </c>
      <c r="X35">
        <v>72.680970623503001</v>
      </c>
      <c r="Y35">
        <v>1</v>
      </c>
    </row>
    <row r="36" spans="1:25" x14ac:dyDescent="0.25">
      <c r="A36">
        <v>24</v>
      </c>
      <c r="B36">
        <v>1.5</v>
      </c>
      <c r="C36" s="1">
        <v>1000000</v>
      </c>
      <c r="D36">
        <v>1</v>
      </c>
      <c r="E36">
        <v>0</v>
      </c>
      <c r="F36">
        <v>0.61724999999999997</v>
      </c>
      <c r="G36">
        <v>3.6172499999999999</v>
      </c>
      <c r="H36">
        <v>0.61724999999999997</v>
      </c>
      <c r="I36">
        <v>0</v>
      </c>
      <c r="J36">
        <v>1.52305391544277</v>
      </c>
      <c r="K36">
        <v>1.5286937639134199</v>
      </c>
      <c r="L36">
        <v>11.661894887147801</v>
      </c>
      <c r="M36">
        <v>34.928519601619101</v>
      </c>
      <c r="N36">
        <v>0.18085185665792999</v>
      </c>
      <c r="O36">
        <v>4.1887902057046302</v>
      </c>
      <c r="P36">
        <v>2.6157753968238899</v>
      </c>
      <c r="Q36">
        <v>7.84547852928754</v>
      </c>
      <c r="R36">
        <v>9.4209934544141092</v>
      </c>
      <c r="S36">
        <v>4.8918992863304496</v>
      </c>
      <c r="T36">
        <v>7.0572340544373899</v>
      </c>
      <c r="U36">
        <v>7.3210542335131801E-2</v>
      </c>
      <c r="V36">
        <v>1.2472729412419099</v>
      </c>
      <c r="W36">
        <v>1.5293600000000001</v>
      </c>
      <c r="X36">
        <v>72.794843036920099</v>
      </c>
      <c r="Y36">
        <v>1</v>
      </c>
    </row>
    <row r="37" spans="1:25" x14ac:dyDescent="0.25">
      <c r="A37">
        <v>24</v>
      </c>
      <c r="B37">
        <v>1.5</v>
      </c>
      <c r="C37" s="1">
        <v>1000000</v>
      </c>
      <c r="D37">
        <v>1</v>
      </c>
      <c r="E37">
        <v>0</v>
      </c>
      <c r="F37">
        <v>0.61762499999999998</v>
      </c>
      <c r="G37">
        <v>3.6176300000000001</v>
      </c>
      <c r="H37">
        <v>0.61762499999999998</v>
      </c>
      <c r="I37">
        <v>0</v>
      </c>
      <c r="J37">
        <v>1.51678182923995</v>
      </c>
      <c r="K37">
        <v>1.52278898284322</v>
      </c>
      <c r="L37">
        <v>11.6582820040021</v>
      </c>
      <c r="M37">
        <v>34.931142497623803</v>
      </c>
      <c r="N37">
        <v>0.21323468568573301</v>
      </c>
      <c r="O37">
        <v>4.1887902116033704</v>
      </c>
      <c r="P37">
        <v>2.6114059481158902</v>
      </c>
      <c r="Q37">
        <v>7.8403156739476696</v>
      </c>
      <c r="R37">
        <v>9.4209933799885306</v>
      </c>
      <c r="S37">
        <v>4.8850731346520604</v>
      </c>
      <c r="T37">
        <v>7.0572338314293104</v>
      </c>
      <c r="U37">
        <v>7.2953865968044804E-2</v>
      </c>
      <c r="V37">
        <v>1.2461711583163999</v>
      </c>
      <c r="W37">
        <v>1.52918</v>
      </c>
      <c r="X37">
        <v>72.689955564722993</v>
      </c>
      <c r="Y37">
        <v>1</v>
      </c>
    </row>
    <row r="38" spans="1:25" x14ac:dyDescent="0.25">
      <c r="A38">
        <v>24</v>
      </c>
      <c r="B38">
        <v>1.5</v>
      </c>
      <c r="C38" s="1">
        <v>1000000</v>
      </c>
      <c r="D38">
        <v>1</v>
      </c>
      <c r="E38">
        <v>0</v>
      </c>
      <c r="F38">
        <v>0.61799999999999999</v>
      </c>
      <c r="G38">
        <v>3.6179999999999999</v>
      </c>
      <c r="H38">
        <v>0.61799999999999999</v>
      </c>
      <c r="I38">
        <v>0</v>
      </c>
      <c r="J38">
        <v>1.5112204280856401</v>
      </c>
      <c r="K38">
        <v>1.51697868523525</v>
      </c>
      <c r="L38">
        <v>11.654713556435601</v>
      </c>
      <c r="M38">
        <v>34.933862762439396</v>
      </c>
      <c r="N38">
        <v>0.19781204761353299</v>
      </c>
      <c r="O38">
        <v>4.1887902107359301</v>
      </c>
      <c r="P38">
        <v>2.6071469823710101</v>
      </c>
      <c r="Q38">
        <v>7.83479517119682</v>
      </c>
      <c r="R38">
        <v>9.4209933823556309</v>
      </c>
      <c r="S38">
        <v>4.8781892848739696</v>
      </c>
      <c r="T38">
        <v>7.0572338385220696</v>
      </c>
      <c r="U38">
        <v>7.3027096405851394E-2</v>
      </c>
      <c r="V38">
        <v>1.2452850251329901</v>
      </c>
      <c r="W38">
        <v>1.5288900000000001</v>
      </c>
      <c r="X38">
        <v>72.804155815594001</v>
      </c>
      <c r="Y38">
        <v>1</v>
      </c>
    </row>
    <row r="39" spans="1:25" x14ac:dyDescent="0.25">
      <c r="A39">
        <v>24</v>
      </c>
      <c r="B39">
        <v>1.5</v>
      </c>
      <c r="C39" s="1">
        <v>1000000</v>
      </c>
      <c r="D39">
        <v>1</v>
      </c>
      <c r="E39">
        <v>0</v>
      </c>
      <c r="F39">
        <v>0.61837500000000001</v>
      </c>
      <c r="G39">
        <v>3.6183700000000001</v>
      </c>
      <c r="H39">
        <v>0.61837500000000001</v>
      </c>
      <c r="I39">
        <v>0</v>
      </c>
      <c r="J39">
        <v>1.5052872172619001</v>
      </c>
      <c r="K39">
        <v>1.51116245040366</v>
      </c>
      <c r="L39">
        <v>11.6511589796857</v>
      </c>
      <c r="M39">
        <v>34.9366018361629</v>
      </c>
      <c r="N39">
        <v>0.239762530913153</v>
      </c>
      <c r="O39">
        <v>4.1887902111611899</v>
      </c>
      <c r="P39">
        <v>2.60287044524466</v>
      </c>
      <c r="Q39">
        <v>7.8292655832696303</v>
      </c>
      <c r="R39">
        <v>9.4209933882372496</v>
      </c>
      <c r="S39">
        <v>4.8713000408416303</v>
      </c>
      <c r="T39">
        <v>7.05723385614571</v>
      </c>
      <c r="U39">
        <v>7.3121254835476601E-2</v>
      </c>
      <c r="V39">
        <v>1.24439962327624</v>
      </c>
      <c r="W39">
        <v>1.5286</v>
      </c>
      <c r="X39">
        <v>72.924495876253602</v>
      </c>
      <c r="Y39">
        <v>1</v>
      </c>
    </row>
    <row r="40" spans="1:25" x14ac:dyDescent="0.25">
      <c r="A40">
        <v>24</v>
      </c>
      <c r="B40">
        <v>1.5</v>
      </c>
      <c r="C40" s="1">
        <v>1000000</v>
      </c>
      <c r="D40">
        <v>1</v>
      </c>
      <c r="E40">
        <v>0</v>
      </c>
      <c r="F40">
        <v>0.61875000000000002</v>
      </c>
      <c r="G40">
        <v>3.6187499999999999</v>
      </c>
      <c r="H40">
        <v>0.61875000000000002</v>
      </c>
      <c r="I40">
        <v>0</v>
      </c>
      <c r="J40">
        <v>1.49942846322326</v>
      </c>
      <c r="K40">
        <v>1.5053792619352599</v>
      </c>
      <c r="L40">
        <v>11.647618727437701</v>
      </c>
      <c r="M40">
        <v>34.939385837727997</v>
      </c>
      <c r="N40">
        <v>0.24074697583539501</v>
      </c>
      <c r="O40">
        <v>4.18879021098354</v>
      </c>
      <c r="P40">
        <v>2.5986403746293498</v>
      </c>
      <c r="Q40">
        <v>7.8237120416477204</v>
      </c>
      <c r="R40">
        <v>9.4209933919055793</v>
      </c>
      <c r="S40">
        <v>4.86437729358338</v>
      </c>
      <c r="T40">
        <v>7.0572338671374402</v>
      </c>
      <c r="U40">
        <v>7.3215762588454802E-2</v>
      </c>
      <c r="V40">
        <v>1.24351645935986</v>
      </c>
      <c r="W40">
        <v>1.5283100000000001</v>
      </c>
      <c r="X40">
        <v>73.0396567252007</v>
      </c>
      <c r="Y40">
        <v>1</v>
      </c>
    </row>
    <row r="41" spans="1:25" x14ac:dyDescent="0.25">
      <c r="A41">
        <v>24</v>
      </c>
      <c r="B41">
        <v>1.5</v>
      </c>
      <c r="C41" s="1">
        <v>1000000</v>
      </c>
      <c r="D41">
        <v>1</v>
      </c>
      <c r="E41">
        <v>0</v>
      </c>
      <c r="F41">
        <v>0.61912500000000004</v>
      </c>
      <c r="G41">
        <v>3.6191200000000001</v>
      </c>
      <c r="H41">
        <v>0.61912500000000004</v>
      </c>
      <c r="I41">
        <v>0</v>
      </c>
      <c r="J41">
        <v>1.4937915575384699</v>
      </c>
      <c r="K41">
        <v>1.4996082481769599</v>
      </c>
      <c r="L41">
        <v>11.6440911676816</v>
      </c>
      <c r="M41">
        <v>34.942124846614099</v>
      </c>
      <c r="N41">
        <v>0.24314849669748401</v>
      </c>
      <c r="O41">
        <v>4.1887902107458004</v>
      </c>
      <c r="P41">
        <v>2.5943831246914399</v>
      </c>
      <c r="Q41">
        <v>7.8181925682995201</v>
      </c>
      <c r="R41">
        <v>9.4209933949983409</v>
      </c>
      <c r="S41">
        <v>4.8575176856810396</v>
      </c>
      <c r="T41">
        <v>7.0572338764045597</v>
      </c>
      <c r="U41">
        <v>7.3278923368572405E-2</v>
      </c>
      <c r="V41">
        <v>1.2426372849442699</v>
      </c>
      <c r="W41">
        <v>1.5280199999999999</v>
      </c>
      <c r="X41">
        <v>73.155305423724997</v>
      </c>
      <c r="Y41">
        <v>1</v>
      </c>
    </row>
    <row r="42" spans="1:25" x14ac:dyDescent="0.25">
      <c r="A42">
        <v>24</v>
      </c>
      <c r="B42">
        <v>1.5</v>
      </c>
      <c r="C42" s="1">
        <v>1000000</v>
      </c>
      <c r="D42">
        <v>1</v>
      </c>
      <c r="E42">
        <v>0</v>
      </c>
      <c r="F42">
        <v>0.61950000000000005</v>
      </c>
      <c r="G42">
        <v>3.6194999999999999</v>
      </c>
      <c r="H42">
        <v>0.61950000000000005</v>
      </c>
      <c r="I42">
        <v>0</v>
      </c>
      <c r="J42">
        <v>1.48808184372677</v>
      </c>
      <c r="K42">
        <v>1.49387875538099</v>
      </c>
      <c r="L42">
        <v>11.640577210307701</v>
      </c>
      <c r="M42">
        <v>34.944873965604501</v>
      </c>
      <c r="N42">
        <v>0.23736217034613999</v>
      </c>
      <c r="O42">
        <v>4.1887902104488601</v>
      </c>
      <c r="P42">
        <v>2.5901653200135901</v>
      </c>
      <c r="Q42">
        <v>7.8126700362466801</v>
      </c>
      <c r="R42">
        <v>9.4209933977266402</v>
      </c>
      <c r="S42">
        <v>4.8506618992387196</v>
      </c>
      <c r="T42">
        <v>7.0572338845796097</v>
      </c>
      <c r="U42">
        <v>7.3339363519213399E-2</v>
      </c>
      <c r="V42">
        <v>1.2417607837456299</v>
      </c>
      <c r="W42">
        <v>1.52773</v>
      </c>
      <c r="X42">
        <v>73.268735284550701</v>
      </c>
      <c r="Y42">
        <v>1</v>
      </c>
    </row>
    <row r="43" spans="1:25" x14ac:dyDescent="0.25">
      <c r="A43">
        <v>120</v>
      </c>
      <c r="B43">
        <v>1.5</v>
      </c>
      <c r="C43" s="1">
        <v>1000000</v>
      </c>
      <c r="D43">
        <v>1</v>
      </c>
      <c r="E43">
        <v>0</v>
      </c>
      <c r="F43">
        <v>0.60450000000000004</v>
      </c>
      <c r="G43">
        <v>3.6044999999999998</v>
      </c>
      <c r="H43">
        <v>0.60450000000000004</v>
      </c>
      <c r="I43">
        <v>0</v>
      </c>
      <c r="J43">
        <v>-2.2185171463879398</v>
      </c>
      <c r="K43">
        <v>-2.2175345773380402</v>
      </c>
      <c r="L43">
        <v>2.5614710763756698</v>
      </c>
      <c r="M43">
        <v>34.121405089447499</v>
      </c>
      <c r="N43">
        <v>0.17708948761698701</v>
      </c>
      <c r="O43">
        <v>4.1887902047761898</v>
      </c>
      <c r="P43">
        <v>-0.71113535828715502</v>
      </c>
      <c r="Q43">
        <v>9.8079243560809104</v>
      </c>
      <c r="R43">
        <v>9.4209871730389096</v>
      </c>
      <c r="S43">
        <v>7.6487112619908899</v>
      </c>
      <c r="T43">
        <v>7.05721523301525</v>
      </c>
      <c r="U43">
        <v>0.12867749560942601</v>
      </c>
      <c r="V43">
        <v>1.4606122853144099</v>
      </c>
      <c r="W43">
        <v>1.5624199999999999</v>
      </c>
      <c r="X43">
        <v>106.912922223876</v>
      </c>
      <c r="Y43">
        <v>1</v>
      </c>
    </row>
    <row r="44" spans="1:25" x14ac:dyDescent="0.25">
      <c r="A44">
        <v>120</v>
      </c>
      <c r="B44">
        <v>1.5</v>
      </c>
      <c r="C44" s="1">
        <v>1000000</v>
      </c>
      <c r="D44">
        <v>1</v>
      </c>
      <c r="E44">
        <v>0</v>
      </c>
      <c r="F44">
        <v>0.60487500000000005</v>
      </c>
      <c r="G44">
        <v>3.60487</v>
      </c>
      <c r="H44">
        <v>0.60487500000000005</v>
      </c>
      <c r="I44">
        <v>0</v>
      </c>
      <c r="J44">
        <v>-2.2200815871641701</v>
      </c>
      <c r="K44">
        <v>-2.2191396370767</v>
      </c>
      <c r="L44">
        <v>2.5666996387935201</v>
      </c>
      <c r="M44">
        <v>34.123485107055103</v>
      </c>
      <c r="N44">
        <v>0.178746363751453</v>
      </c>
      <c r="O44">
        <v>4.18879020477564</v>
      </c>
      <c r="P44">
        <v>-0.71349842313867695</v>
      </c>
      <c r="Q44">
        <v>9.8038866071101207</v>
      </c>
      <c r="R44">
        <v>9.4209871159307106</v>
      </c>
      <c r="S44">
        <v>7.6424145139574602</v>
      </c>
      <c r="T44">
        <v>7.0572150618968204</v>
      </c>
      <c r="U44">
        <v>0.128812390735635</v>
      </c>
      <c r="V44">
        <v>1.4601582791080201</v>
      </c>
      <c r="W44">
        <v>1.5617799999999999</v>
      </c>
      <c r="X44">
        <v>107.031358107568</v>
      </c>
      <c r="Y44">
        <v>1</v>
      </c>
    </row>
    <row r="45" spans="1:25" x14ac:dyDescent="0.25">
      <c r="A45">
        <v>120</v>
      </c>
      <c r="B45">
        <v>1.5</v>
      </c>
      <c r="C45" s="1">
        <v>1000000</v>
      </c>
      <c r="D45">
        <v>1</v>
      </c>
      <c r="E45">
        <v>0</v>
      </c>
      <c r="F45">
        <v>0.60524999999999995</v>
      </c>
      <c r="G45">
        <v>3.6052499999999998</v>
      </c>
      <c r="H45">
        <v>0.60524999999999995</v>
      </c>
      <c r="I45">
        <v>0</v>
      </c>
      <c r="J45">
        <v>-2.2216563662627098</v>
      </c>
      <c r="K45">
        <v>-2.22072733305904</v>
      </c>
      <c r="L45">
        <v>2.5719319779003502</v>
      </c>
      <c r="M45">
        <v>34.125573773127698</v>
      </c>
      <c r="N45">
        <v>0.178310017492087</v>
      </c>
      <c r="O45">
        <v>4.1887902047751702</v>
      </c>
      <c r="P45">
        <v>-0.71584966165112696</v>
      </c>
      <c r="Q45">
        <v>9.7998534626950597</v>
      </c>
      <c r="R45">
        <v>9.4209870578820194</v>
      </c>
      <c r="S45">
        <v>7.6361275154641302</v>
      </c>
      <c r="T45">
        <v>7.0572148879602699</v>
      </c>
      <c r="U45">
        <v>0.12894669981316101</v>
      </c>
      <c r="V45">
        <v>1.45970425962618</v>
      </c>
      <c r="W45">
        <v>1.5611299999999999</v>
      </c>
      <c r="X45">
        <v>107.149674252617</v>
      </c>
      <c r="Y45">
        <v>1</v>
      </c>
    </row>
    <row r="46" spans="1:25" x14ac:dyDescent="0.25">
      <c r="A46">
        <v>120</v>
      </c>
      <c r="B46">
        <v>1.5</v>
      </c>
      <c r="C46" s="1">
        <v>1000000</v>
      </c>
      <c r="D46">
        <v>1</v>
      </c>
      <c r="E46">
        <v>0</v>
      </c>
      <c r="F46">
        <v>0.60562499999999997</v>
      </c>
      <c r="G46">
        <v>3.60562</v>
      </c>
      <c r="H46">
        <v>0.60562499999999997</v>
      </c>
      <c r="I46">
        <v>0</v>
      </c>
      <c r="J46">
        <v>-2.2232362682806799</v>
      </c>
      <c r="K46">
        <v>-2.22229803233127</v>
      </c>
      <c r="L46">
        <v>2.5771680503699499</v>
      </c>
      <c r="M46">
        <v>34.127671158999803</v>
      </c>
      <c r="N46">
        <v>0.175918376023179</v>
      </c>
      <c r="O46">
        <v>4.1887902047747598</v>
      </c>
      <c r="P46">
        <v>-0.71818929793980102</v>
      </c>
      <c r="Q46">
        <v>9.7958250841536394</v>
      </c>
      <c r="R46">
        <v>9.4209869988859101</v>
      </c>
      <c r="S46">
        <v>7.6298504958665596</v>
      </c>
      <c r="T46">
        <v>7.0572147111849199</v>
      </c>
      <c r="U46">
        <v>0.129080468566554</v>
      </c>
      <c r="V46">
        <v>1.4592502341247899</v>
      </c>
      <c r="W46">
        <v>1.5604899999999999</v>
      </c>
      <c r="X46">
        <v>107.267605396542</v>
      </c>
      <c r="Y46">
        <v>1</v>
      </c>
    </row>
    <row r="47" spans="1:25" x14ac:dyDescent="0.25">
      <c r="A47">
        <v>120</v>
      </c>
      <c r="B47">
        <v>1.5</v>
      </c>
      <c r="C47" s="1">
        <v>1000000</v>
      </c>
      <c r="D47">
        <v>1</v>
      </c>
      <c r="E47">
        <v>0</v>
      </c>
      <c r="F47">
        <v>0.60599999999999998</v>
      </c>
      <c r="G47">
        <v>3.6059999999999999</v>
      </c>
      <c r="H47">
        <v>0.60599999999999998</v>
      </c>
      <c r="I47">
        <v>0</v>
      </c>
      <c r="J47">
        <v>-2.22480633510474</v>
      </c>
      <c r="K47">
        <v>-2.22385144629839</v>
      </c>
      <c r="L47">
        <v>2.5824078109694</v>
      </c>
      <c r="M47">
        <v>34.129777249200799</v>
      </c>
      <c r="N47">
        <v>0.17247520285729201</v>
      </c>
      <c r="O47">
        <v>4.1887902047743699</v>
      </c>
      <c r="P47">
        <v>-0.72051704639818304</v>
      </c>
      <c r="Q47">
        <v>9.7918015106216991</v>
      </c>
      <c r="R47">
        <v>9.4209869392338508</v>
      </c>
      <c r="S47">
        <v>7.6235835129475999</v>
      </c>
      <c r="T47">
        <v>7.0572145324440498</v>
      </c>
      <c r="U47">
        <v>0.12921402399030199</v>
      </c>
      <c r="V47">
        <v>1.45879634367049</v>
      </c>
      <c r="W47">
        <v>1.55985</v>
      </c>
      <c r="X47">
        <v>107.385000843659</v>
      </c>
      <c r="Y47">
        <v>1</v>
      </c>
    </row>
    <row r="48" spans="1:25" x14ac:dyDescent="0.25">
      <c r="A48">
        <v>120</v>
      </c>
      <c r="B48">
        <v>1.5</v>
      </c>
      <c r="C48" s="1">
        <v>1000000</v>
      </c>
      <c r="D48">
        <v>1</v>
      </c>
      <c r="E48">
        <v>0</v>
      </c>
      <c r="F48">
        <v>0.606375</v>
      </c>
      <c r="G48">
        <v>3.6063700000000001</v>
      </c>
      <c r="H48">
        <v>0.606375</v>
      </c>
      <c r="I48">
        <v>0</v>
      </c>
      <c r="J48">
        <v>-2.2263530441825998</v>
      </c>
      <c r="K48">
        <v>-2.2253871096310101</v>
      </c>
      <c r="L48">
        <v>2.5876512146020598</v>
      </c>
      <c r="M48">
        <v>34.1318919940096</v>
      </c>
      <c r="N48">
        <v>0.16888223161774599</v>
      </c>
      <c r="O48">
        <v>4.1887902047739303</v>
      </c>
      <c r="P48">
        <v>-0.72283248675800704</v>
      </c>
      <c r="Q48">
        <v>9.7877827328976501</v>
      </c>
      <c r="R48">
        <v>9.4209868792421894</v>
      </c>
      <c r="S48">
        <v>7.6173265555670602</v>
      </c>
      <c r="T48">
        <v>7.0572143526856097</v>
      </c>
      <c r="U48">
        <v>0.129347681803168</v>
      </c>
      <c r="V48">
        <v>1.4583427336478201</v>
      </c>
      <c r="W48">
        <v>1.5592200000000001</v>
      </c>
      <c r="X48">
        <v>107.50187625939699</v>
      </c>
      <c r="Y48">
        <v>1</v>
      </c>
    </row>
    <row r="49" spans="1:25" x14ac:dyDescent="0.25">
      <c r="A49">
        <v>120</v>
      </c>
      <c r="B49">
        <v>1.5</v>
      </c>
      <c r="C49" s="1">
        <v>1000000</v>
      </c>
      <c r="D49">
        <v>1</v>
      </c>
      <c r="E49">
        <v>0</v>
      </c>
      <c r="F49">
        <v>0.60675000000000001</v>
      </c>
      <c r="G49">
        <v>3.6067499999999999</v>
      </c>
      <c r="H49">
        <v>0.60675000000000001</v>
      </c>
      <c r="I49">
        <v>0</v>
      </c>
      <c r="J49">
        <v>-2.2278742261639302</v>
      </c>
      <c r="K49">
        <v>-2.2269047196347902</v>
      </c>
      <c r="L49">
        <v>2.59289821730794</v>
      </c>
      <c r="M49">
        <v>34.134015345657502</v>
      </c>
      <c r="N49">
        <v>0.16568493592049899</v>
      </c>
      <c r="O49">
        <v>4.1887902047734196</v>
      </c>
      <c r="P49">
        <v>-0.72513533114275397</v>
      </c>
      <c r="Q49">
        <v>9.7837687450541306</v>
      </c>
      <c r="R49">
        <v>9.4209868191069805</v>
      </c>
      <c r="S49">
        <v>7.6110796149341198</v>
      </c>
      <c r="T49">
        <v>7.0572141724970496</v>
      </c>
      <c r="U49">
        <v>0.129481611149834</v>
      </c>
      <c r="V49">
        <v>1.45788949304405</v>
      </c>
      <c r="W49">
        <v>1.5585800000000001</v>
      </c>
      <c r="X49">
        <v>107.61831690067601</v>
      </c>
      <c r="Y49">
        <v>1</v>
      </c>
    </row>
    <row r="50" spans="1:25" x14ac:dyDescent="0.25">
      <c r="A50">
        <v>120</v>
      </c>
      <c r="B50">
        <v>1.5</v>
      </c>
      <c r="C50" s="1">
        <v>1000000</v>
      </c>
      <c r="D50">
        <v>1</v>
      </c>
      <c r="E50">
        <v>0</v>
      </c>
      <c r="F50">
        <v>0.60712500000000003</v>
      </c>
      <c r="G50">
        <v>3.6071200000000001</v>
      </c>
      <c r="H50">
        <v>0.60712500000000003</v>
      </c>
      <c r="I50">
        <v>0</v>
      </c>
      <c r="J50">
        <v>-2.2293705212237001</v>
      </c>
      <c r="K50">
        <v>-2.2284041674085602</v>
      </c>
      <c r="L50">
        <v>2.5981487761855901</v>
      </c>
      <c r="M50">
        <v>34.136147261105499</v>
      </c>
      <c r="N50">
        <v>0.16310878172705801</v>
      </c>
      <c r="O50">
        <v>4.1887902047728396</v>
      </c>
      <c r="P50">
        <v>-0.727425449273846</v>
      </c>
      <c r="Q50">
        <v>9.7797595491470695</v>
      </c>
      <c r="R50">
        <v>9.4209867589062206</v>
      </c>
      <c r="S50">
        <v>7.6048426903082298</v>
      </c>
      <c r="T50">
        <v>7.05721399211206</v>
      </c>
      <c r="U50">
        <v>0.12961585853049401</v>
      </c>
      <c r="V50">
        <v>1.4574366593143899</v>
      </c>
      <c r="W50">
        <v>1.5579400000000001</v>
      </c>
      <c r="X50">
        <v>107.734405498426</v>
      </c>
      <c r="Y50">
        <v>1</v>
      </c>
    </row>
    <row r="51" spans="1:25" x14ac:dyDescent="0.25">
      <c r="A51">
        <v>120</v>
      </c>
      <c r="B51">
        <v>1.5</v>
      </c>
      <c r="C51" s="1">
        <v>1000000</v>
      </c>
      <c r="D51">
        <v>1</v>
      </c>
      <c r="E51">
        <v>0</v>
      </c>
      <c r="F51">
        <v>0.60750000000000004</v>
      </c>
      <c r="G51">
        <v>3.6074999999999999</v>
      </c>
      <c r="H51">
        <v>0.60750000000000004</v>
      </c>
      <c r="I51">
        <v>0</v>
      </c>
      <c r="J51">
        <v>-2.2308453117404601</v>
      </c>
      <c r="K51">
        <v>-2.22988549474388</v>
      </c>
      <c r="L51">
        <v>2.6034028490183299</v>
      </c>
      <c r="M51">
        <v>34.138287705811301</v>
      </c>
      <c r="N51">
        <v>0.16116226313030699</v>
      </c>
      <c r="O51">
        <v>4.1887902047721797</v>
      </c>
      <c r="P51">
        <v>-0.72970283225245003</v>
      </c>
      <c r="Q51">
        <v>9.7757551592228396</v>
      </c>
      <c r="R51">
        <v>9.42098669866105</v>
      </c>
      <c r="S51">
        <v>7.5986157969105497</v>
      </c>
      <c r="T51">
        <v>7.0572138115939902</v>
      </c>
      <c r="U51">
        <v>0.12975051717972799</v>
      </c>
      <c r="V51">
        <v>1.4569842469077401</v>
      </c>
      <c r="W51">
        <v>1.55731</v>
      </c>
      <c r="X51">
        <v>107.850199115783</v>
      </c>
      <c r="Y51">
        <v>1</v>
      </c>
    </row>
    <row r="52" spans="1:25" x14ac:dyDescent="0.25">
      <c r="A52">
        <v>120</v>
      </c>
      <c r="B52">
        <v>1.5</v>
      </c>
      <c r="C52" s="1">
        <v>1000000</v>
      </c>
      <c r="D52">
        <v>1</v>
      </c>
      <c r="E52">
        <v>0</v>
      </c>
      <c r="F52">
        <v>0.60787500000000005</v>
      </c>
      <c r="G52">
        <v>3.6078700000000001</v>
      </c>
      <c r="H52">
        <v>0.60787500000000005</v>
      </c>
      <c r="I52">
        <v>0</v>
      </c>
      <c r="J52">
        <v>-2.23223355773872</v>
      </c>
      <c r="K52">
        <v>-2.23134847878964</v>
      </c>
      <c r="L52">
        <v>2.6086603939920399</v>
      </c>
      <c r="M52">
        <v>34.140436614074801</v>
      </c>
      <c r="N52">
        <v>0.15985606010423001</v>
      </c>
      <c r="O52">
        <v>4.1887902047714496</v>
      </c>
      <c r="P52">
        <v>-0.73196726267771395</v>
      </c>
      <c r="Q52">
        <v>9.7717555506960192</v>
      </c>
      <c r="R52">
        <v>9.4209866383252105</v>
      </c>
      <c r="S52">
        <v>7.5923988872452499</v>
      </c>
      <c r="T52">
        <v>7.0572136308042497</v>
      </c>
      <c r="U52">
        <v>0.129885330096072</v>
      </c>
      <c r="V52">
        <v>1.4565322369711999</v>
      </c>
      <c r="W52">
        <v>1.5566800000000001</v>
      </c>
      <c r="X52">
        <v>107.965736629425</v>
      </c>
      <c r="Y52">
        <v>1</v>
      </c>
    </row>
    <row r="53" spans="1:25" x14ac:dyDescent="0.25">
      <c r="A53">
        <v>120</v>
      </c>
      <c r="B53">
        <v>1.5</v>
      </c>
      <c r="C53" s="1">
        <v>1000000</v>
      </c>
      <c r="D53">
        <v>1</v>
      </c>
      <c r="E53">
        <v>0</v>
      </c>
      <c r="F53">
        <v>0.60824999999999996</v>
      </c>
      <c r="G53">
        <v>3.60825</v>
      </c>
      <c r="H53">
        <v>0.60824999999999996</v>
      </c>
      <c r="I53">
        <v>0</v>
      </c>
      <c r="J53">
        <v>-2.2337419257599902</v>
      </c>
      <c r="K53">
        <v>-2.23279377486327</v>
      </c>
      <c r="L53">
        <v>2.61392136776632</v>
      </c>
      <c r="M53">
        <v>34.142594116274701</v>
      </c>
      <c r="N53">
        <v>0.159116750824604</v>
      </c>
      <c r="O53">
        <v>4.1887902047707</v>
      </c>
      <c r="P53">
        <v>-0.73421918327229097</v>
      </c>
      <c r="Q53">
        <v>9.7677609488470694</v>
      </c>
      <c r="R53">
        <v>9.4209865780560502</v>
      </c>
      <c r="S53">
        <v>7.58619230781136</v>
      </c>
      <c r="T53">
        <v>7.05721345021428</v>
      </c>
      <c r="U53">
        <v>0.130020391638941</v>
      </c>
      <c r="V53">
        <v>1.45608057987837</v>
      </c>
      <c r="W53">
        <v>1.5560400000000001</v>
      </c>
      <c r="X53">
        <v>108.081044168471</v>
      </c>
      <c r="Y53">
        <v>1</v>
      </c>
    </row>
    <row r="54" spans="1:25" x14ac:dyDescent="0.25">
      <c r="A54">
        <v>120</v>
      </c>
      <c r="B54">
        <v>1.5</v>
      </c>
      <c r="C54" s="1">
        <v>1000000</v>
      </c>
      <c r="D54">
        <v>1</v>
      </c>
      <c r="E54">
        <v>0</v>
      </c>
      <c r="F54">
        <v>0.60862499999999997</v>
      </c>
      <c r="G54">
        <v>3.6086299999999998</v>
      </c>
      <c r="H54">
        <v>0.60862499999999997</v>
      </c>
      <c r="I54">
        <v>0</v>
      </c>
      <c r="J54">
        <v>-2.2351638656003798</v>
      </c>
      <c r="K54">
        <v>-2.2342211917302102</v>
      </c>
      <c r="L54">
        <v>2.61918573251871</v>
      </c>
      <c r="M54">
        <v>34.144759808255699</v>
      </c>
      <c r="N54">
        <v>0.15880107632166199</v>
      </c>
      <c r="O54">
        <v>4.18879020476985</v>
      </c>
      <c r="P54">
        <v>-0.736458518761956</v>
      </c>
      <c r="Q54">
        <v>9.7637708966036794</v>
      </c>
      <c r="R54">
        <v>9.4209865174638807</v>
      </c>
      <c r="S54">
        <v>7.5799953282676604</v>
      </c>
      <c r="T54">
        <v>7.0572132686564704</v>
      </c>
      <c r="U54">
        <v>0.130155612048066</v>
      </c>
      <c r="V54">
        <v>1.45562935602949</v>
      </c>
      <c r="W54">
        <v>1.55541</v>
      </c>
      <c r="X54">
        <v>108.196122106359</v>
      </c>
      <c r="Y54">
        <v>1</v>
      </c>
    </row>
    <row r="55" spans="1:25" x14ac:dyDescent="0.25">
      <c r="A55">
        <v>120</v>
      </c>
      <c r="B55">
        <v>1.5</v>
      </c>
      <c r="C55" s="1">
        <v>1000000</v>
      </c>
      <c r="D55">
        <v>1</v>
      </c>
      <c r="E55">
        <v>0</v>
      </c>
      <c r="F55">
        <v>0.60899999999999999</v>
      </c>
      <c r="G55">
        <v>3.609</v>
      </c>
      <c r="H55">
        <v>0.60899999999999999</v>
      </c>
      <c r="I55">
        <v>0</v>
      </c>
      <c r="J55">
        <v>-2.23656877597353</v>
      </c>
      <c r="K55">
        <v>-2.2356308522254098</v>
      </c>
      <c r="L55">
        <v>2.6244534452936499</v>
      </c>
      <c r="M55">
        <v>34.1469338147512</v>
      </c>
      <c r="N55">
        <v>0.15884454689132699</v>
      </c>
      <c r="O55">
        <v>4.1887902047689698</v>
      </c>
      <c r="P55">
        <v>-0.73868527409344598</v>
      </c>
      <c r="Q55">
        <v>9.7597856119378399</v>
      </c>
      <c r="R55">
        <v>9.4209864566938197</v>
      </c>
      <c r="S55">
        <v>7.5738082831258904</v>
      </c>
      <c r="T55">
        <v>7.0572130865656097</v>
      </c>
      <c r="U55">
        <v>0.13029098267421099</v>
      </c>
      <c r="V55">
        <v>1.4551785056704301</v>
      </c>
      <c r="W55">
        <v>1.5547800000000001</v>
      </c>
      <c r="X55">
        <v>108.310980296995</v>
      </c>
      <c r="Y55">
        <v>1</v>
      </c>
    </row>
    <row r="56" spans="1:25" x14ac:dyDescent="0.25">
      <c r="A56">
        <v>120</v>
      </c>
      <c r="B56">
        <v>1.5</v>
      </c>
      <c r="C56" s="1">
        <v>1000000</v>
      </c>
      <c r="D56">
        <v>1</v>
      </c>
      <c r="E56">
        <v>0</v>
      </c>
      <c r="F56">
        <v>0.609375</v>
      </c>
      <c r="G56">
        <v>3.6093799999999998</v>
      </c>
      <c r="H56">
        <v>0.609375</v>
      </c>
      <c r="I56">
        <v>0</v>
      </c>
      <c r="J56">
        <v>-2.2379571266473799</v>
      </c>
      <c r="K56">
        <v>-2.2370228550110101</v>
      </c>
      <c r="L56">
        <v>2.6297244650247702</v>
      </c>
      <c r="M56">
        <v>34.149116080436002</v>
      </c>
      <c r="N56">
        <v>0.159174582506352</v>
      </c>
      <c r="O56">
        <v>4.1887902047680399</v>
      </c>
      <c r="P56">
        <v>-0.74089949574297398</v>
      </c>
      <c r="Q56">
        <v>9.7558050825608298</v>
      </c>
      <c r="R56">
        <v>9.4209863957225704</v>
      </c>
      <c r="S56">
        <v>7.56763114400633</v>
      </c>
      <c r="T56">
        <v>7.0572129038718998</v>
      </c>
      <c r="U56">
        <v>0.13042647624679199</v>
      </c>
      <c r="V56">
        <v>1.45472802081936</v>
      </c>
      <c r="W56">
        <v>1.5541400000000001</v>
      </c>
      <c r="X56">
        <v>108.425620372631</v>
      </c>
      <c r="Y56">
        <v>1</v>
      </c>
    </row>
    <row r="57" spans="1:25" x14ac:dyDescent="0.25">
      <c r="A57">
        <v>120</v>
      </c>
      <c r="B57">
        <v>1.5</v>
      </c>
      <c r="C57" s="1">
        <v>1000000</v>
      </c>
      <c r="D57">
        <v>1</v>
      </c>
      <c r="E57">
        <v>0</v>
      </c>
      <c r="F57">
        <v>0.60975000000000001</v>
      </c>
      <c r="G57">
        <v>3.60975</v>
      </c>
      <c r="H57">
        <v>0.60975000000000001</v>
      </c>
      <c r="I57">
        <v>0</v>
      </c>
      <c r="J57">
        <v>-2.2393288627043502</v>
      </c>
      <c r="K57">
        <v>-2.2383972926326101</v>
      </c>
      <c r="L57">
        <v>2.6349987505700101</v>
      </c>
      <c r="M57">
        <v>34.151306534814303</v>
      </c>
      <c r="N57">
        <v>0.15972472485705899</v>
      </c>
      <c r="O57">
        <v>4.1887902047671002</v>
      </c>
      <c r="P57">
        <v>-0.74310123060470201</v>
      </c>
      <c r="Q57">
        <v>9.7518292767280901</v>
      </c>
      <c r="R57">
        <v>9.4209863345634108</v>
      </c>
      <c r="S57">
        <v>7.5614638521214399</v>
      </c>
      <c r="T57">
        <v>7.0572127206151603</v>
      </c>
      <c r="U57">
        <v>0.13056204391391499</v>
      </c>
      <c r="V57">
        <v>1.45427788990492</v>
      </c>
      <c r="W57">
        <v>1.5535099999999999</v>
      </c>
      <c r="X57">
        <v>108.54004203107699</v>
      </c>
      <c r="Y57">
        <v>1</v>
      </c>
    </row>
    <row r="58" spans="1:25" x14ac:dyDescent="0.25">
      <c r="A58">
        <v>120</v>
      </c>
      <c r="B58">
        <v>1.5</v>
      </c>
      <c r="C58" s="1">
        <v>1000000</v>
      </c>
      <c r="D58">
        <v>1</v>
      </c>
      <c r="E58">
        <v>0</v>
      </c>
      <c r="F58">
        <v>0.61012500000000003</v>
      </c>
      <c r="G58">
        <v>3.6101299999999998</v>
      </c>
      <c r="H58">
        <v>0.61012500000000003</v>
      </c>
      <c r="I58">
        <v>0</v>
      </c>
      <c r="J58">
        <v>-2.2406833616038599</v>
      </c>
      <c r="K58">
        <v>-2.2397542653292901</v>
      </c>
      <c r="L58">
        <v>2.6402762616228999</v>
      </c>
      <c r="M58">
        <v>34.153505150572798</v>
      </c>
      <c r="N58">
        <v>0.16044075377675601</v>
      </c>
      <c r="O58">
        <v>4.1887902047661401</v>
      </c>
      <c r="P58">
        <v>-0.74529051767284205</v>
      </c>
      <c r="Q58">
        <v>9.7478582168782992</v>
      </c>
      <c r="R58">
        <v>9.4209862731408194</v>
      </c>
      <c r="S58">
        <v>7.5553064339080898</v>
      </c>
      <c r="T58">
        <v>7.0572125365690503</v>
      </c>
      <c r="U58">
        <v>0.13069772151883199</v>
      </c>
      <c r="V58">
        <v>1.4538177894440201</v>
      </c>
      <c r="W58">
        <v>1.55288</v>
      </c>
      <c r="X58">
        <v>108.65424119526</v>
      </c>
      <c r="Y58">
        <v>1</v>
      </c>
    </row>
    <row r="59" spans="1:25" x14ac:dyDescent="0.25">
      <c r="A59">
        <v>120</v>
      </c>
      <c r="B59">
        <v>1.5</v>
      </c>
      <c r="C59" s="1">
        <v>1000000</v>
      </c>
      <c r="D59">
        <v>1</v>
      </c>
      <c r="E59">
        <v>0</v>
      </c>
      <c r="F59">
        <v>0.61050000000000004</v>
      </c>
      <c r="G59">
        <v>3.6105</v>
      </c>
      <c r="H59">
        <v>0.61050000000000004</v>
      </c>
      <c r="I59">
        <v>0</v>
      </c>
      <c r="J59">
        <v>-2.2420207887701</v>
      </c>
      <c r="K59">
        <v>-2.2410938528740298</v>
      </c>
      <c r="L59">
        <v>2.6455569573817899</v>
      </c>
      <c r="M59">
        <v>34.155711857800299</v>
      </c>
      <c r="N59">
        <v>0.161268528429658</v>
      </c>
      <c r="O59">
        <v>4.1887902047651702</v>
      </c>
      <c r="P59">
        <v>-0.74746739368473403</v>
      </c>
      <c r="Q59">
        <v>9.7438918714948706</v>
      </c>
      <c r="R59">
        <v>9.4209862114734992</v>
      </c>
      <c r="S59">
        <v>7.5491588310343403</v>
      </c>
      <c r="T59">
        <v>7.0572123517896603</v>
      </c>
      <c r="U59">
        <v>0.13083346820561001</v>
      </c>
      <c r="V59">
        <v>1.45335724138913</v>
      </c>
      <c r="W59">
        <v>1.5522499999999999</v>
      </c>
      <c r="X59">
        <v>108.768213979593</v>
      </c>
      <c r="Y59">
        <v>1</v>
      </c>
    </row>
    <row r="60" spans="1:25" x14ac:dyDescent="0.25">
      <c r="A60">
        <v>120</v>
      </c>
      <c r="B60">
        <v>1.5</v>
      </c>
      <c r="C60" s="1">
        <v>1000000</v>
      </c>
      <c r="D60">
        <v>1</v>
      </c>
      <c r="E60">
        <v>0</v>
      </c>
      <c r="F60">
        <v>0.61087499999999995</v>
      </c>
      <c r="G60">
        <v>3.6108799999999999</v>
      </c>
      <c r="H60">
        <v>0.61087499999999995</v>
      </c>
      <c r="I60">
        <v>0</v>
      </c>
      <c r="J60">
        <v>-2.2433418137451699</v>
      </c>
      <c r="K60">
        <v>-2.2424161616833</v>
      </c>
      <c r="L60">
        <v>2.6508407974353299</v>
      </c>
      <c r="M60">
        <v>34.157926601450299</v>
      </c>
      <c r="N60">
        <v>0.16216032261496299</v>
      </c>
      <c r="O60">
        <v>4.1887902047641896</v>
      </c>
      <c r="P60">
        <v>-0.74963191283304798</v>
      </c>
      <c r="Q60">
        <v>9.7399302276025299</v>
      </c>
      <c r="R60">
        <v>9.4209861495520109</v>
      </c>
      <c r="S60">
        <v>7.5430210142856096</v>
      </c>
      <c r="T60">
        <v>7.0572121662486396</v>
      </c>
      <c r="U60">
        <v>0.13096927365536201</v>
      </c>
      <c r="V60">
        <v>1.4528969091422299</v>
      </c>
      <c r="W60">
        <v>1.55162</v>
      </c>
      <c r="X60">
        <v>108.881954705794</v>
      </c>
      <c r="Y60">
        <v>1</v>
      </c>
    </row>
    <row r="61" spans="1:25" x14ac:dyDescent="0.25">
      <c r="A61">
        <v>120</v>
      </c>
      <c r="B61">
        <v>1.5</v>
      </c>
      <c r="C61" s="1">
        <v>1000000</v>
      </c>
      <c r="D61">
        <v>1</v>
      </c>
      <c r="E61">
        <v>0</v>
      </c>
      <c r="F61">
        <v>0.61124999999999996</v>
      </c>
      <c r="G61">
        <v>3.6112500000000001</v>
      </c>
      <c r="H61">
        <v>0.61124999999999996</v>
      </c>
      <c r="I61">
        <v>0</v>
      </c>
      <c r="J61">
        <v>-2.2445933865379302</v>
      </c>
      <c r="K61">
        <v>-2.2437213012388</v>
      </c>
      <c r="L61">
        <v>2.6561277417794802</v>
      </c>
      <c r="M61">
        <v>34.160149308776298</v>
      </c>
      <c r="N61">
        <v>0.163088815968884</v>
      </c>
      <c r="O61">
        <v>4.1887902047632197</v>
      </c>
      <c r="P61">
        <v>-0.75178413833838897</v>
      </c>
      <c r="Q61">
        <v>9.7359732497015905</v>
      </c>
      <c r="R61">
        <v>9.4209860873090907</v>
      </c>
      <c r="S61">
        <v>7.5368929185784399</v>
      </c>
      <c r="T61">
        <v>7.0572119797445101</v>
      </c>
      <c r="U61">
        <v>0.13110497501538401</v>
      </c>
      <c r="V61">
        <v>1.4524367781148899</v>
      </c>
      <c r="W61">
        <v>1.5509999999999999</v>
      </c>
      <c r="X61">
        <v>108.995458129357</v>
      </c>
      <c r="Y61">
        <v>1</v>
      </c>
    </row>
    <row r="62" spans="1:25" x14ac:dyDescent="0.25">
      <c r="A62">
        <v>120</v>
      </c>
      <c r="B62">
        <v>1.5</v>
      </c>
      <c r="C62" s="1">
        <v>1000000</v>
      </c>
      <c r="D62">
        <v>1</v>
      </c>
      <c r="E62">
        <v>0</v>
      </c>
      <c r="F62">
        <v>0.61162499999999997</v>
      </c>
      <c r="G62">
        <v>3.6116299999999999</v>
      </c>
      <c r="H62">
        <v>0.61162499999999997</v>
      </c>
      <c r="I62">
        <v>0</v>
      </c>
      <c r="J62">
        <v>-2.2459306926664002</v>
      </c>
      <c r="K62">
        <v>-2.2450095705551001</v>
      </c>
      <c r="L62">
        <v>2.6614177499874598</v>
      </c>
      <c r="M62">
        <v>34.162379962844</v>
      </c>
      <c r="N62">
        <v>0.16398205268132501</v>
      </c>
      <c r="O62">
        <v>4.1887902047622596</v>
      </c>
      <c r="P62">
        <v>-0.75392427267914697</v>
      </c>
      <c r="Q62">
        <v>9.7320209726518598</v>
      </c>
      <c r="R62">
        <v>9.4209860248427599</v>
      </c>
      <c r="S62">
        <v>7.5307745903097896</v>
      </c>
      <c r="T62">
        <v>7.0572117925709401</v>
      </c>
      <c r="U62">
        <v>0.131240865268962</v>
      </c>
      <c r="V62">
        <v>1.45197688465089</v>
      </c>
      <c r="W62">
        <v>1.55037</v>
      </c>
      <c r="X62">
        <v>109.10871408907001</v>
      </c>
      <c r="Y62">
        <v>1</v>
      </c>
    </row>
    <row r="63" spans="1:25" x14ac:dyDescent="0.25">
      <c r="A63">
        <v>120</v>
      </c>
      <c r="B63">
        <v>1.5</v>
      </c>
      <c r="C63" s="1">
        <v>1000000</v>
      </c>
      <c r="D63">
        <v>1</v>
      </c>
      <c r="E63">
        <v>0</v>
      </c>
      <c r="F63">
        <v>0.61199999999999999</v>
      </c>
      <c r="G63">
        <v>3.6120000000000001</v>
      </c>
      <c r="H63">
        <v>0.61199999999999999</v>
      </c>
      <c r="I63">
        <v>0</v>
      </c>
      <c r="J63">
        <v>-2.2472007300633501</v>
      </c>
      <c r="K63">
        <v>-2.2462805767871799</v>
      </c>
      <c r="L63">
        <v>2.6667107809904298</v>
      </c>
      <c r="M63">
        <v>34.164618261506298</v>
      </c>
      <c r="N63">
        <v>0.16478243985831301</v>
      </c>
      <c r="O63">
        <v>4.1887902047613004</v>
      </c>
      <c r="P63">
        <v>-0.75605204044021601</v>
      </c>
      <c r="Q63">
        <v>9.7280730669388298</v>
      </c>
      <c r="R63">
        <v>9.4209859622432095</v>
      </c>
      <c r="S63">
        <v>7.5246655067809396</v>
      </c>
      <c r="T63">
        <v>7.0572116049982201</v>
      </c>
      <c r="U63">
        <v>0.13137701287439399</v>
      </c>
      <c r="V63">
        <v>1.4515171802698099</v>
      </c>
      <c r="W63">
        <v>1.5497399999999999</v>
      </c>
      <c r="X63">
        <v>109.22169842656901</v>
      </c>
      <c r="Y63">
        <v>1</v>
      </c>
    </row>
    <row r="64" spans="1:25" x14ac:dyDescent="0.25">
      <c r="A64">
        <v>120</v>
      </c>
      <c r="B64">
        <v>1.5</v>
      </c>
      <c r="C64" s="1">
        <v>1000000</v>
      </c>
      <c r="D64">
        <v>1</v>
      </c>
      <c r="E64">
        <v>0</v>
      </c>
      <c r="F64">
        <v>0.612375</v>
      </c>
      <c r="G64">
        <v>3.6123799999999999</v>
      </c>
      <c r="H64">
        <v>0.612375</v>
      </c>
      <c r="I64">
        <v>0</v>
      </c>
      <c r="J64">
        <v>-2.24845394020566</v>
      </c>
      <c r="K64">
        <v>-2.24753472956046</v>
      </c>
      <c r="L64">
        <v>2.6720067980541198</v>
      </c>
      <c r="M64">
        <v>34.166864646265601</v>
      </c>
      <c r="N64">
        <v>0.165578955348717</v>
      </c>
      <c r="O64">
        <v>4.1887902047603296</v>
      </c>
      <c r="P64">
        <v>-0.75816757758881503</v>
      </c>
      <c r="Q64">
        <v>9.7241301551328991</v>
      </c>
      <c r="R64">
        <v>9.4209858991828508</v>
      </c>
      <c r="S64">
        <v>7.5185666264276101</v>
      </c>
      <c r="T64">
        <v>7.0572114160446899</v>
      </c>
      <c r="U64">
        <v>0.13151294816605899</v>
      </c>
      <c r="V64">
        <v>1.45105773541423</v>
      </c>
      <c r="W64">
        <v>1.5491200000000001</v>
      </c>
      <c r="X64">
        <v>109.3344463833</v>
      </c>
      <c r="Y64">
        <v>1</v>
      </c>
    </row>
    <row r="65" spans="1:25" x14ac:dyDescent="0.25">
      <c r="A65">
        <v>120</v>
      </c>
      <c r="B65">
        <v>1.5</v>
      </c>
      <c r="C65" s="1">
        <v>1000000</v>
      </c>
      <c r="D65">
        <v>1</v>
      </c>
      <c r="E65">
        <v>0</v>
      </c>
      <c r="F65">
        <v>0.61275000000000002</v>
      </c>
      <c r="G65">
        <v>3.6127500000000001</v>
      </c>
      <c r="H65">
        <v>0.61275000000000002</v>
      </c>
      <c r="I65">
        <v>0</v>
      </c>
      <c r="J65">
        <v>-2.2496908246314802</v>
      </c>
      <c r="K65">
        <v>-2.2487721108654899</v>
      </c>
      <c r="L65">
        <v>2.67730576004569</v>
      </c>
      <c r="M65">
        <v>34.169118817138902</v>
      </c>
      <c r="N65">
        <v>0.16627781945717601</v>
      </c>
      <c r="O65">
        <v>4.1887902047593801</v>
      </c>
      <c r="P65">
        <v>-0.76027100456276198</v>
      </c>
      <c r="Q65">
        <v>9.7201919095239209</v>
      </c>
      <c r="R65">
        <v>9.4209858358286596</v>
      </c>
      <c r="S65">
        <v>7.51247743054771</v>
      </c>
      <c r="T65">
        <v>7.0572112262107298</v>
      </c>
      <c r="U65">
        <v>0.131648928286312</v>
      </c>
      <c r="V65">
        <v>1.4505985193667299</v>
      </c>
      <c r="W65">
        <v>1.5484899999999999</v>
      </c>
      <c r="X65">
        <v>109.44692804626899</v>
      </c>
      <c r="Y65">
        <v>1</v>
      </c>
    </row>
    <row r="66" spans="1:25" x14ac:dyDescent="0.25">
      <c r="A66">
        <v>120</v>
      </c>
      <c r="B66">
        <v>1.5</v>
      </c>
      <c r="C66" s="1">
        <v>1000000</v>
      </c>
      <c r="D66">
        <v>1</v>
      </c>
      <c r="E66">
        <v>0</v>
      </c>
      <c r="F66">
        <v>0.61312500000000003</v>
      </c>
      <c r="G66">
        <v>3.61313</v>
      </c>
      <c r="H66">
        <v>0.61312500000000003</v>
      </c>
      <c r="I66">
        <v>0</v>
      </c>
      <c r="J66">
        <v>-2.2509118909219801</v>
      </c>
      <c r="K66">
        <v>-2.2499928362393402</v>
      </c>
      <c r="L66">
        <v>2.6826076276231499</v>
      </c>
      <c r="M66">
        <v>34.171380730861898</v>
      </c>
      <c r="N66">
        <v>0.16686705715497799</v>
      </c>
      <c r="O66">
        <v>4.1887902047584298</v>
      </c>
      <c r="P66">
        <v>-0.76236238110300103</v>
      </c>
      <c r="Q66">
        <v>9.7162583314063795</v>
      </c>
      <c r="R66">
        <v>9.42098577217482</v>
      </c>
      <c r="S66">
        <v>7.5063979113301302</v>
      </c>
      <c r="T66">
        <v>7.0572110354789004</v>
      </c>
      <c r="U66">
        <v>0.13178495530540499</v>
      </c>
      <c r="V66">
        <v>1.4501395343416399</v>
      </c>
      <c r="W66">
        <v>1.54786</v>
      </c>
      <c r="X66">
        <v>109.55913710382001</v>
      </c>
      <c r="Y66">
        <v>1</v>
      </c>
    </row>
    <row r="67" spans="1:25" x14ac:dyDescent="0.25">
      <c r="A67">
        <v>120</v>
      </c>
      <c r="B67">
        <v>1.5</v>
      </c>
      <c r="C67" s="1">
        <v>1000000</v>
      </c>
      <c r="D67">
        <v>1</v>
      </c>
      <c r="E67">
        <v>0</v>
      </c>
      <c r="F67">
        <v>0.61350000000000005</v>
      </c>
      <c r="G67">
        <v>3.6135000000000002</v>
      </c>
      <c r="H67">
        <v>0.61350000000000005</v>
      </c>
      <c r="I67">
        <v>0</v>
      </c>
      <c r="J67">
        <v>-2.2521174531039398</v>
      </c>
      <c r="K67">
        <v>-2.25119703290722</v>
      </c>
      <c r="L67">
        <v>2.6879123616203699</v>
      </c>
      <c r="M67">
        <v>34.173650347098601</v>
      </c>
      <c r="N67">
        <v>0.16734405862592699</v>
      </c>
      <c r="O67">
        <v>4.1887902047574697</v>
      </c>
      <c r="P67">
        <v>-0.76444177605833996</v>
      </c>
      <c r="Q67">
        <v>9.7123294257022792</v>
      </c>
      <c r="R67">
        <v>9.4209857082163797</v>
      </c>
      <c r="S67">
        <v>7.5003280664635499</v>
      </c>
      <c r="T67">
        <v>7.0572108438343903</v>
      </c>
      <c r="U67">
        <v>0.13192103237164399</v>
      </c>
      <c r="V67">
        <v>1.4496807824178799</v>
      </c>
      <c r="W67">
        <v>1.5472399999999999</v>
      </c>
      <c r="X67">
        <v>109.671068446832</v>
      </c>
      <c r="Y67">
        <v>1</v>
      </c>
    </row>
    <row r="68" spans="1:25" x14ac:dyDescent="0.25">
      <c r="A68">
        <v>120</v>
      </c>
      <c r="B68">
        <v>1.5</v>
      </c>
      <c r="C68" s="1">
        <v>1000000</v>
      </c>
      <c r="D68">
        <v>1</v>
      </c>
      <c r="E68">
        <v>0</v>
      </c>
      <c r="F68">
        <v>0.61387499999999995</v>
      </c>
      <c r="G68">
        <v>3.61388</v>
      </c>
      <c r="H68">
        <v>0.61387499999999995</v>
      </c>
      <c r="I68">
        <v>0</v>
      </c>
      <c r="J68">
        <v>-2.2533079985796798</v>
      </c>
      <c r="K68">
        <v>-2.2523848262319901</v>
      </c>
      <c r="L68">
        <v>2.6932199230437601</v>
      </c>
      <c r="M68">
        <v>34.175927627555701</v>
      </c>
      <c r="N68">
        <v>0.16771481766111199</v>
      </c>
      <c r="O68">
        <v>4.1887902047564802</v>
      </c>
      <c r="P68">
        <v>-0.76650925637063605</v>
      </c>
      <c r="Q68">
        <v>9.7084051997797598</v>
      </c>
      <c r="R68">
        <v>9.4209856439500896</v>
      </c>
      <c r="S68">
        <v>7.4942678973666599</v>
      </c>
      <c r="T68">
        <v>7.0572106512674102</v>
      </c>
      <c r="U68">
        <v>0.132057164191629</v>
      </c>
      <c r="V68">
        <v>1.4492056256096399</v>
      </c>
      <c r="W68">
        <v>1.5466200000000001</v>
      </c>
      <c r="X68">
        <v>109.78271853683501</v>
      </c>
      <c r="Y68">
        <v>1</v>
      </c>
    </row>
    <row r="69" spans="1:25" x14ac:dyDescent="0.25">
      <c r="A69">
        <v>120</v>
      </c>
      <c r="B69">
        <v>1.5</v>
      </c>
      <c r="C69" s="1">
        <v>1000000</v>
      </c>
      <c r="D69">
        <v>1</v>
      </c>
      <c r="E69">
        <v>0</v>
      </c>
      <c r="F69">
        <v>0.61424999999999996</v>
      </c>
      <c r="G69">
        <v>3.6142500000000002</v>
      </c>
      <c r="H69">
        <v>0.61424999999999996</v>
      </c>
      <c r="I69">
        <v>0</v>
      </c>
      <c r="J69">
        <v>-2.2544850357802702</v>
      </c>
      <c r="K69">
        <v>-2.2535563345329099</v>
      </c>
      <c r="L69">
        <v>2.69853026885023</v>
      </c>
      <c r="M69">
        <v>34.178212375279202</v>
      </c>
      <c r="N69">
        <v>0.16801530537857301</v>
      </c>
      <c r="O69">
        <v>4.18879020475541</v>
      </c>
      <c r="P69">
        <v>-0.768564938565925</v>
      </c>
      <c r="Q69">
        <v>9.7044854607130198</v>
      </c>
      <c r="R69">
        <v>9.4209855798350297</v>
      </c>
      <c r="S69">
        <v>7.4882170934613796</v>
      </c>
      <c r="T69">
        <v>7.0572104591535902</v>
      </c>
      <c r="U69">
        <v>0.132193222704829</v>
      </c>
      <c r="V69">
        <v>1.4487304376938599</v>
      </c>
      <c r="W69">
        <v>1.54599</v>
      </c>
      <c r="X69">
        <v>109.89408992673199</v>
      </c>
      <c r="Y69">
        <v>1</v>
      </c>
    </row>
    <row r="70" spans="1:25" x14ac:dyDescent="0.25">
      <c r="A70">
        <v>120</v>
      </c>
      <c r="B70">
        <v>1.5</v>
      </c>
      <c r="C70" s="1">
        <v>1000000</v>
      </c>
      <c r="D70">
        <v>1</v>
      </c>
      <c r="E70">
        <v>0</v>
      </c>
      <c r="F70">
        <v>0.61462499999999998</v>
      </c>
      <c r="G70">
        <v>3.61463</v>
      </c>
      <c r="H70">
        <v>0.61462499999999998</v>
      </c>
      <c r="I70">
        <v>0</v>
      </c>
      <c r="J70">
        <v>-2.2556734237444198</v>
      </c>
      <c r="K70">
        <v>-2.2547461716377999</v>
      </c>
      <c r="L70">
        <v>2.7038344897557098</v>
      </c>
      <c r="M70">
        <v>34.180618462774902</v>
      </c>
      <c r="N70">
        <v>0.14698150314660399</v>
      </c>
      <c r="O70">
        <v>4.1887902047537597</v>
      </c>
      <c r="P70">
        <v>-0.77059409909282905</v>
      </c>
      <c r="Q70">
        <v>9.7007301147631395</v>
      </c>
      <c r="R70">
        <v>9.4209855877428996</v>
      </c>
      <c r="S70">
        <v>7.4824207831337803</v>
      </c>
      <c r="T70">
        <v>7.0572104828586397</v>
      </c>
      <c r="U70">
        <v>0.13263604655407699</v>
      </c>
      <c r="V70">
        <v>1.4482396479208199</v>
      </c>
      <c r="W70">
        <v>1.5453699999999999</v>
      </c>
      <c r="X70">
        <v>110.005628338797</v>
      </c>
      <c r="Y70">
        <v>1</v>
      </c>
    </row>
    <row r="71" spans="1:25" x14ac:dyDescent="0.25">
      <c r="A71">
        <v>120</v>
      </c>
      <c r="B71">
        <v>1.5</v>
      </c>
      <c r="C71" s="1">
        <v>1000000</v>
      </c>
      <c r="D71">
        <v>1</v>
      </c>
      <c r="E71">
        <v>0</v>
      </c>
      <c r="F71">
        <v>0.61499999999999999</v>
      </c>
      <c r="G71">
        <v>3.6150000000000002</v>
      </c>
      <c r="H71">
        <v>0.61499999999999999</v>
      </c>
      <c r="I71">
        <v>0</v>
      </c>
      <c r="J71">
        <v>-2.25682793491386</v>
      </c>
      <c r="K71">
        <v>-2.2558852105423801</v>
      </c>
      <c r="L71">
        <v>2.7091502483388501</v>
      </c>
      <c r="M71">
        <v>34.182917971145798</v>
      </c>
      <c r="N71">
        <v>0.14621429232910699</v>
      </c>
      <c r="O71">
        <v>4.1887902047533503</v>
      </c>
      <c r="P71">
        <v>-0.77262607644721604</v>
      </c>
      <c r="Q71">
        <v>9.6968194199945508</v>
      </c>
      <c r="R71">
        <v>9.4209855219401</v>
      </c>
      <c r="S71">
        <v>7.4763886853262997</v>
      </c>
      <c r="T71">
        <v>7.0572102856878498</v>
      </c>
      <c r="U71">
        <v>0.13278604644830699</v>
      </c>
      <c r="V71">
        <v>1.44776903471288</v>
      </c>
      <c r="W71">
        <v>1.5447500000000001</v>
      </c>
      <c r="X71">
        <v>110.116813963426</v>
      </c>
      <c r="Y71">
        <v>1</v>
      </c>
    </row>
    <row r="72" spans="1:25" x14ac:dyDescent="0.25">
      <c r="A72">
        <v>120</v>
      </c>
      <c r="B72">
        <v>1.5</v>
      </c>
      <c r="C72" s="1">
        <v>1000000</v>
      </c>
      <c r="D72">
        <v>1</v>
      </c>
      <c r="E72">
        <v>0</v>
      </c>
      <c r="F72">
        <v>0.61537500000000001</v>
      </c>
      <c r="G72">
        <v>3.61538</v>
      </c>
      <c r="H72">
        <v>0.61537500000000001</v>
      </c>
      <c r="I72">
        <v>0</v>
      </c>
      <c r="J72">
        <v>-2.2579702524374201</v>
      </c>
      <c r="K72">
        <v>-2.25700828943295</v>
      </c>
      <c r="L72">
        <v>2.7144686798840301</v>
      </c>
      <c r="M72">
        <v>34.185225226951303</v>
      </c>
      <c r="N72">
        <v>0.14552000312841301</v>
      </c>
      <c r="O72">
        <v>4.1887902047528804</v>
      </c>
      <c r="P72">
        <v>-0.77464627937001795</v>
      </c>
      <c r="Q72">
        <v>9.6929137263858394</v>
      </c>
      <c r="R72">
        <v>9.4209854560461999</v>
      </c>
      <c r="S72">
        <v>7.4703667373356799</v>
      </c>
      <c r="T72">
        <v>7.0572100882440703</v>
      </c>
      <c r="U72">
        <v>0.132936620941289</v>
      </c>
      <c r="V72">
        <v>1.4472985986318501</v>
      </c>
      <c r="W72">
        <v>1.54413</v>
      </c>
      <c r="X72">
        <v>110.22776242647799</v>
      </c>
      <c r="Y72">
        <v>1</v>
      </c>
    </row>
    <row r="73" spans="1:25" x14ac:dyDescent="0.25">
      <c r="A73">
        <v>120</v>
      </c>
      <c r="B73">
        <v>1.5</v>
      </c>
      <c r="C73" s="1">
        <v>1000000</v>
      </c>
      <c r="D73">
        <v>1</v>
      </c>
      <c r="E73">
        <v>0</v>
      </c>
      <c r="F73">
        <v>0.61575000000000002</v>
      </c>
      <c r="G73">
        <v>3.6157499999999998</v>
      </c>
      <c r="H73">
        <v>0.61575000000000002</v>
      </c>
      <c r="I73">
        <v>0</v>
      </c>
      <c r="J73">
        <v>-2.2590930795925801</v>
      </c>
      <c r="K73">
        <v>-2.2581153152247802</v>
      </c>
      <c r="L73">
        <v>2.7197897459876499</v>
      </c>
      <c r="M73">
        <v>34.187539954884002</v>
      </c>
      <c r="N73">
        <v>0.14494618876080101</v>
      </c>
      <c r="O73">
        <v>4.1887902047523697</v>
      </c>
      <c r="P73">
        <v>-0.77665467611037897</v>
      </c>
      <c r="Q73">
        <v>9.6890127399454897</v>
      </c>
      <c r="R73">
        <v>9.4209853899541702</v>
      </c>
      <c r="S73">
        <v>7.4643544659863297</v>
      </c>
      <c r="T73">
        <v>7.0572098902066296</v>
      </c>
      <c r="U73">
        <v>0.13308770599471401</v>
      </c>
      <c r="V73">
        <v>1.4468283289958801</v>
      </c>
      <c r="W73">
        <v>1.5435099999999999</v>
      </c>
      <c r="X73">
        <v>110.338441897775</v>
      </c>
      <c r="Y73">
        <v>1</v>
      </c>
    </row>
    <row r="74" spans="1:25" x14ac:dyDescent="0.25">
      <c r="A74">
        <v>120</v>
      </c>
      <c r="B74">
        <v>1.5</v>
      </c>
      <c r="C74" s="1">
        <v>1000000</v>
      </c>
      <c r="D74">
        <v>1</v>
      </c>
      <c r="E74">
        <v>0</v>
      </c>
      <c r="F74">
        <v>0.61612500000000003</v>
      </c>
      <c r="G74">
        <v>3.6161300000000001</v>
      </c>
      <c r="H74">
        <v>0.61612500000000003</v>
      </c>
      <c r="I74">
        <v>0</v>
      </c>
      <c r="J74">
        <v>-2.2601982810325101</v>
      </c>
      <c r="K74">
        <v>-2.2592053635888201</v>
      </c>
      <c r="L74">
        <v>2.72511335004776</v>
      </c>
      <c r="M74">
        <v>34.189860840292503</v>
      </c>
      <c r="N74">
        <v>0.14552442301739599</v>
      </c>
      <c r="O74">
        <v>4.1887902047509602</v>
      </c>
      <c r="P74">
        <v>-0.77865089348858296</v>
      </c>
      <c r="Q74">
        <v>9.6851148851822799</v>
      </c>
      <c r="R74">
        <v>9.4209853310219405</v>
      </c>
      <c r="S74">
        <v>7.45834939101512</v>
      </c>
      <c r="T74">
        <v>7.0572097136227896</v>
      </c>
      <c r="U74">
        <v>0.133247510900283</v>
      </c>
      <c r="V74">
        <v>1.4463584024013401</v>
      </c>
      <c r="W74">
        <v>1.5428900000000001</v>
      </c>
      <c r="X74">
        <v>110.448785850018</v>
      </c>
      <c r="Y74">
        <v>1</v>
      </c>
    </row>
    <row r="75" spans="1:25" x14ac:dyDescent="0.25">
      <c r="A75">
        <v>120</v>
      </c>
      <c r="B75">
        <v>1.5</v>
      </c>
      <c r="C75" s="1">
        <v>1000000</v>
      </c>
      <c r="D75">
        <v>1</v>
      </c>
      <c r="E75">
        <v>0</v>
      </c>
      <c r="F75">
        <v>0.61650000000000005</v>
      </c>
      <c r="G75">
        <v>3.6164999999999998</v>
      </c>
      <c r="H75">
        <v>0.61650000000000005</v>
      </c>
      <c r="I75">
        <v>0</v>
      </c>
      <c r="J75">
        <v>-2.2612921552450098</v>
      </c>
      <c r="K75">
        <v>-2.2602804901282401</v>
      </c>
      <c r="L75">
        <v>2.7304395710159999</v>
      </c>
      <c r="M75">
        <v>34.192190345474202</v>
      </c>
      <c r="N75">
        <v>0.145353327381569</v>
      </c>
      <c r="O75">
        <v>4.1887902047502701</v>
      </c>
      <c r="P75">
        <v>-0.78063576093763998</v>
      </c>
      <c r="Q75">
        <v>9.6812232597651597</v>
      </c>
      <c r="R75">
        <v>9.4209852646730408</v>
      </c>
      <c r="S75">
        <v>7.4523563665920296</v>
      </c>
      <c r="T75">
        <v>7.05720951481565</v>
      </c>
      <c r="U75">
        <v>0.13340019658924099</v>
      </c>
      <c r="V75">
        <v>1.4458885119972</v>
      </c>
      <c r="W75">
        <v>1.54227</v>
      </c>
      <c r="X75">
        <v>110.55893313334499</v>
      </c>
      <c r="Y75">
        <v>1</v>
      </c>
    </row>
    <row r="76" spans="1:25" x14ac:dyDescent="0.25">
      <c r="A76">
        <v>120</v>
      </c>
      <c r="B76">
        <v>1.5</v>
      </c>
      <c r="C76" s="1">
        <v>1000000</v>
      </c>
      <c r="D76">
        <v>1</v>
      </c>
      <c r="E76">
        <v>0</v>
      </c>
      <c r="F76">
        <v>0.61687499999999995</v>
      </c>
      <c r="G76">
        <v>3.6168800000000001</v>
      </c>
      <c r="H76">
        <v>0.61687499999999995</v>
      </c>
      <c r="I76">
        <v>0</v>
      </c>
      <c r="J76">
        <v>-2.2623701848529101</v>
      </c>
      <c r="K76">
        <v>-2.2613397976537799</v>
      </c>
      <c r="L76">
        <v>2.73576831332048</v>
      </c>
      <c r="M76">
        <v>34.194527173475301</v>
      </c>
      <c r="N76">
        <v>0.145358559166364</v>
      </c>
      <c r="O76">
        <v>4.1887902047495</v>
      </c>
      <c r="P76">
        <v>-0.78260892196215304</v>
      </c>
      <c r="Q76">
        <v>9.6773363118052398</v>
      </c>
      <c r="R76">
        <v>9.4209851981523691</v>
      </c>
      <c r="S76">
        <v>7.4463729464760098</v>
      </c>
      <c r="T76">
        <v>7.0572093154938402</v>
      </c>
      <c r="U76">
        <v>0.133553605423472</v>
      </c>
      <c r="V76">
        <v>1.4454188125923799</v>
      </c>
      <c r="W76">
        <v>1.54166</v>
      </c>
      <c r="X76">
        <v>110.668816548587</v>
      </c>
      <c r="Y76">
        <v>1</v>
      </c>
    </row>
    <row r="77" spans="1:25" x14ac:dyDescent="0.25">
      <c r="A77">
        <v>120</v>
      </c>
      <c r="B77">
        <v>1.5</v>
      </c>
      <c r="C77" s="1">
        <v>1000000</v>
      </c>
      <c r="D77">
        <v>1</v>
      </c>
      <c r="E77">
        <v>0</v>
      </c>
      <c r="F77">
        <v>0.61724999999999997</v>
      </c>
      <c r="G77">
        <v>3.6172499999999999</v>
      </c>
      <c r="H77">
        <v>0.61724999999999997</v>
      </c>
      <c r="I77">
        <v>0</v>
      </c>
      <c r="J77">
        <v>-2.2634293732789499</v>
      </c>
      <c r="K77">
        <v>-2.2623833709339798</v>
      </c>
      <c r="L77">
        <v>2.7410995396168798</v>
      </c>
      <c r="M77">
        <v>34.196871277006402</v>
      </c>
      <c r="N77">
        <v>0.145532616686817</v>
      </c>
      <c r="O77">
        <v>4.1887902047486403</v>
      </c>
      <c r="P77">
        <v>-0.78457041518908599</v>
      </c>
      <c r="Q77">
        <v>9.6734540342163395</v>
      </c>
      <c r="R77">
        <v>9.4209851314655104</v>
      </c>
      <c r="S77">
        <v>7.4403991107420504</v>
      </c>
      <c r="T77">
        <v>7.0572091156740502</v>
      </c>
      <c r="U77">
        <v>0.133707758192219</v>
      </c>
      <c r="V77">
        <v>1.4449493081034901</v>
      </c>
      <c r="W77">
        <v>1.54104</v>
      </c>
      <c r="X77">
        <v>110.77843447430099</v>
      </c>
      <c r="Y77">
        <v>1</v>
      </c>
    </row>
    <row r="78" spans="1:25" x14ac:dyDescent="0.25">
      <c r="A78">
        <v>120</v>
      </c>
      <c r="B78">
        <v>1.5</v>
      </c>
      <c r="C78" s="1">
        <v>1000000</v>
      </c>
      <c r="D78">
        <v>1</v>
      </c>
      <c r="E78">
        <v>0</v>
      </c>
      <c r="F78">
        <v>0.61762499999999998</v>
      </c>
      <c r="G78">
        <v>3.6176300000000001</v>
      </c>
      <c r="H78">
        <v>0.61762499999999998</v>
      </c>
      <c r="I78">
        <v>0</v>
      </c>
      <c r="J78">
        <v>-2.26447977217145</v>
      </c>
      <c r="K78">
        <v>-2.2634113075531999</v>
      </c>
      <c r="L78">
        <v>2.74643321274106</v>
      </c>
      <c r="M78">
        <v>34.199222611510997</v>
      </c>
      <c r="N78">
        <v>0.14585153608183901</v>
      </c>
      <c r="O78">
        <v>4.1887902047476899</v>
      </c>
      <c r="P78">
        <v>-0.786520289386474</v>
      </c>
      <c r="Q78">
        <v>9.6695764232306693</v>
      </c>
      <c r="R78">
        <v>9.4209850646195097</v>
      </c>
      <c r="S78">
        <v>7.4344348445617596</v>
      </c>
      <c r="T78">
        <v>7.0572089153774096</v>
      </c>
      <c r="U78">
        <v>0.13386267687564299</v>
      </c>
      <c r="V78">
        <v>1.44448000224553</v>
      </c>
      <c r="W78">
        <v>1.54043</v>
      </c>
      <c r="X78">
        <v>110.887784901134</v>
      </c>
      <c r="Y78">
        <v>1</v>
      </c>
    </row>
    <row r="79" spans="1:25" x14ac:dyDescent="0.25">
      <c r="A79">
        <v>120</v>
      </c>
      <c r="B79">
        <v>1.5</v>
      </c>
      <c r="C79" s="1">
        <v>1000000</v>
      </c>
      <c r="D79">
        <v>1</v>
      </c>
      <c r="E79">
        <v>0</v>
      </c>
      <c r="F79">
        <v>0.61799999999999999</v>
      </c>
      <c r="G79">
        <v>3.6179999999999999</v>
      </c>
      <c r="H79">
        <v>0.61799999999999999</v>
      </c>
      <c r="I79">
        <v>0</v>
      </c>
      <c r="J79">
        <v>-2.2655096000490702</v>
      </c>
      <c r="K79">
        <v>-2.26442372022886</v>
      </c>
      <c r="L79">
        <v>2.7517692957172999</v>
      </c>
      <c r="M79">
        <v>34.201581137361799</v>
      </c>
      <c r="N79">
        <v>0.14627355236210199</v>
      </c>
      <c r="O79">
        <v>4.1887902047466401</v>
      </c>
      <c r="P79">
        <v>-0.788458604655768</v>
      </c>
      <c r="Q79">
        <v>9.66570348127334</v>
      </c>
      <c r="R79">
        <v>9.4209849976209306</v>
      </c>
      <c r="S79">
        <v>7.4284801425911704</v>
      </c>
      <c r="T79">
        <v>7.0572087146236004</v>
      </c>
      <c r="U79">
        <v>0.13401838156892501</v>
      </c>
      <c r="V79">
        <v>1.44401089847772</v>
      </c>
      <c r="W79">
        <v>1.5398099999999999</v>
      </c>
      <c r="X79">
        <v>110.99686588444899</v>
      </c>
      <c r="Y79">
        <v>1</v>
      </c>
    </row>
    <row r="80" spans="1:25" x14ac:dyDescent="0.25">
      <c r="A80">
        <v>120</v>
      </c>
      <c r="B80">
        <v>1.5</v>
      </c>
      <c r="C80" s="1">
        <v>1000000</v>
      </c>
      <c r="D80">
        <v>1</v>
      </c>
      <c r="E80">
        <v>0</v>
      </c>
      <c r="F80">
        <v>0.61837500000000001</v>
      </c>
      <c r="G80">
        <v>3.6183700000000001</v>
      </c>
      <c r="H80">
        <v>0.61837500000000001</v>
      </c>
      <c r="I80">
        <v>0</v>
      </c>
      <c r="J80">
        <v>-2.2665217746466699</v>
      </c>
      <c r="K80">
        <v>-2.2654207365189101</v>
      </c>
      <c r="L80">
        <v>2.7571077517641802</v>
      </c>
      <c r="M80">
        <v>34.203946819806099</v>
      </c>
      <c r="N80">
        <v>0.146737968706697</v>
      </c>
      <c r="O80">
        <v>4.1887902047455103</v>
      </c>
      <c r="P80">
        <v>-0.79038543223601798</v>
      </c>
      <c r="Q80">
        <v>9.6618352169006005</v>
      </c>
      <c r="R80">
        <v>9.4209849304751199</v>
      </c>
      <c r="S80">
        <v>7.4225350088545801</v>
      </c>
      <c r="T80">
        <v>7.0572085134286304</v>
      </c>
      <c r="U80">
        <v>0.134174884124587</v>
      </c>
      <c r="V80">
        <v>1.44354200008683</v>
      </c>
      <c r="W80">
        <v>1.5391999999999999</v>
      </c>
      <c r="X80">
        <v>111.105675946799</v>
      </c>
      <c r="Y80">
        <v>1</v>
      </c>
    </row>
    <row r="81" spans="1:25" x14ac:dyDescent="0.25">
      <c r="A81">
        <v>120</v>
      </c>
      <c r="B81">
        <v>1.5</v>
      </c>
      <c r="C81" s="1">
        <v>1000000</v>
      </c>
      <c r="D81">
        <v>1</v>
      </c>
      <c r="E81">
        <v>0</v>
      </c>
      <c r="F81">
        <v>0.61875000000000002</v>
      </c>
      <c r="G81">
        <v>3.6187499999999999</v>
      </c>
      <c r="H81">
        <v>0.61875000000000002</v>
      </c>
      <c r="I81">
        <v>0</v>
      </c>
      <c r="J81">
        <v>-2.2675159128134301</v>
      </c>
      <c r="K81">
        <v>-2.2664024920171899</v>
      </c>
      <c r="L81">
        <v>2.7624485443130502</v>
      </c>
      <c r="M81">
        <v>34.206319629123698</v>
      </c>
      <c r="N81">
        <v>0.147164308922686</v>
      </c>
      <c r="O81">
        <v>4.1887902047442802</v>
      </c>
      <c r="P81">
        <v>-0.79230084872541795</v>
      </c>
      <c r="Q81">
        <v>9.6579716448904804</v>
      </c>
      <c r="R81">
        <v>9.4209848631783792</v>
      </c>
      <c r="S81">
        <v>7.4165994570695304</v>
      </c>
      <c r="T81">
        <v>7.0572083117813902</v>
      </c>
      <c r="U81">
        <v>0.134332196642034</v>
      </c>
      <c r="V81">
        <v>1.44307331073638</v>
      </c>
      <c r="W81">
        <v>1.5385899999999999</v>
      </c>
      <c r="X81">
        <v>111.214212487094</v>
      </c>
      <c r="Y81">
        <v>1</v>
      </c>
    </row>
    <row r="82" spans="1:25" x14ac:dyDescent="0.25">
      <c r="A82">
        <v>120</v>
      </c>
      <c r="B82">
        <v>1.5</v>
      </c>
      <c r="C82" s="1">
        <v>1000000</v>
      </c>
      <c r="D82">
        <v>1</v>
      </c>
      <c r="E82">
        <v>0</v>
      </c>
      <c r="F82">
        <v>0.61912500000000004</v>
      </c>
      <c r="G82">
        <v>3.6191200000000001</v>
      </c>
      <c r="H82">
        <v>0.61912500000000004</v>
      </c>
      <c r="I82">
        <v>0</v>
      </c>
      <c r="J82">
        <v>-2.2684908589478101</v>
      </c>
      <c r="K82">
        <v>-2.2673690201826999</v>
      </c>
      <c r="L82">
        <v>2.7677916362211601</v>
      </c>
      <c r="M82">
        <v>34.208699546501499</v>
      </c>
      <c r="N82">
        <v>0.14743808182443399</v>
      </c>
      <c r="O82">
        <v>4.1887902047430599</v>
      </c>
      <c r="P82">
        <v>-0.79420484045568096</v>
      </c>
      <c r="Q82">
        <v>9.6541127942641296</v>
      </c>
      <c r="R82">
        <v>9.4209847959370592</v>
      </c>
      <c r="S82">
        <v>7.4106735226596196</v>
      </c>
      <c r="T82">
        <v>7.0572081103002402</v>
      </c>
      <c r="U82">
        <v>0.13449044098177099</v>
      </c>
      <c r="V82">
        <v>1.4426048349329099</v>
      </c>
      <c r="W82">
        <v>1.5379700000000001</v>
      </c>
      <c r="X82">
        <v>111.322485434085</v>
      </c>
      <c r="Y82">
        <v>1</v>
      </c>
    </row>
    <row r="83" spans="1:25" x14ac:dyDescent="0.25">
      <c r="A83">
        <v>120</v>
      </c>
      <c r="B83">
        <v>1.5</v>
      </c>
      <c r="C83" s="1">
        <v>1000000</v>
      </c>
      <c r="D83">
        <v>1</v>
      </c>
      <c r="E83">
        <v>0</v>
      </c>
      <c r="F83">
        <v>0.61950000000000005</v>
      </c>
      <c r="G83">
        <v>3.6194999999999999</v>
      </c>
      <c r="H83">
        <v>0.61950000000000005</v>
      </c>
      <c r="I83">
        <v>0</v>
      </c>
      <c r="J83">
        <v>-2.2694425129967599</v>
      </c>
      <c r="K83">
        <v>-2.2683206828542701</v>
      </c>
      <c r="L83">
        <v>2.7731369930035799</v>
      </c>
      <c r="M83">
        <v>34.211086569462303</v>
      </c>
      <c r="N83">
        <v>0.14744715022295901</v>
      </c>
      <c r="O83">
        <v>4.1887902047417196</v>
      </c>
      <c r="P83">
        <v>-0.79609766666882997</v>
      </c>
      <c r="Q83">
        <v>9.6502587144987295</v>
      </c>
      <c r="R83">
        <v>9.42098472832647</v>
      </c>
      <c r="S83">
        <v>7.4047572721823798</v>
      </c>
      <c r="T83">
        <v>7.0572079077126002</v>
      </c>
      <c r="U83">
        <v>0.13464917648663199</v>
      </c>
      <c r="V83">
        <v>1.4421365716680199</v>
      </c>
      <c r="W83">
        <v>1.5373600000000001</v>
      </c>
      <c r="X83">
        <v>111.430486380956</v>
      </c>
      <c r="Y8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"/>
  <sheetViews>
    <sheetView workbookViewId="0"/>
  </sheetViews>
  <sheetFormatPr defaultRowHeight="15" x14ac:dyDescent="0.25"/>
  <cols>
    <col min="1" max="1" width="6.140625" bestFit="1" customWidth="1"/>
    <col min="2" max="2" width="15.140625" bestFit="1" customWidth="1"/>
    <col min="3" max="3" width="6.140625" bestFit="1" customWidth="1"/>
    <col min="4" max="4" width="15.140625" bestFit="1" customWidth="1"/>
  </cols>
  <sheetData>
    <row r="1" spans="1:2" x14ac:dyDescent="0.25">
      <c r="A1" t="s">
        <v>58</v>
      </c>
      <c r="B1" t="s">
        <v>59</v>
      </c>
    </row>
    <row r="2" spans="1:2" x14ac:dyDescent="0.25">
      <c r="A2">
        <v>1</v>
      </c>
      <c r="B2">
        <v>0.67500000000000004</v>
      </c>
    </row>
    <row r="3" spans="1:2" x14ac:dyDescent="0.25">
      <c r="A3">
        <v>6</v>
      </c>
      <c r="B3">
        <v>0.67500000000000004</v>
      </c>
    </row>
    <row r="4" spans="1:2" x14ac:dyDescent="0.25">
      <c r="A4">
        <v>30</v>
      </c>
      <c r="B4">
        <v>0.77500000000000002</v>
      </c>
    </row>
    <row r="5" spans="1:2" x14ac:dyDescent="0.25">
      <c r="A5">
        <v>60</v>
      </c>
      <c r="B5">
        <v>0.95</v>
      </c>
    </row>
    <row r="6" spans="1:2" x14ac:dyDescent="0.25">
      <c r="A6">
        <v>90</v>
      </c>
      <c r="B6">
        <v>1.075</v>
      </c>
    </row>
    <row r="7" spans="1:2" x14ac:dyDescent="0.25">
      <c r="A7">
        <v>120</v>
      </c>
      <c r="B7">
        <v>1.175</v>
      </c>
    </row>
    <row r="8" spans="1:2" x14ac:dyDescent="0.25">
      <c r="A8">
        <v>130</v>
      </c>
      <c r="B8">
        <v>1.175</v>
      </c>
    </row>
    <row r="9" spans="1:2" x14ac:dyDescent="0.25">
      <c r="A9">
        <v>150</v>
      </c>
      <c r="B9">
        <v>1.25</v>
      </c>
    </row>
    <row r="10" spans="1:2" x14ac:dyDescent="0.25">
      <c r="A10">
        <v>174</v>
      </c>
      <c r="B10">
        <v>1.25</v>
      </c>
    </row>
    <row r="11" spans="1:2" x14ac:dyDescent="0.25">
      <c r="A11">
        <v>179</v>
      </c>
      <c r="B11">
        <v>1.2749999999999999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H1" workbookViewId="0">
      <selection activeCell="M7" sqref="M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Parameters</vt:lpstr>
      <vt:lpstr>Force data</vt:lpstr>
      <vt:lpstr>Fluid data</vt:lpstr>
      <vt:lpstr>Bubble data</vt:lpstr>
      <vt:lpstr>Rupture data</vt:lpstr>
      <vt:lpstr>Temp</vt:lpstr>
      <vt:lpstr>Bubble</vt:lpstr>
      <vt:lpstr>Fluid</vt:lpstr>
      <vt:lpstr>Force</vt:lpstr>
      <vt:lpstr>Rupture</vt:lpstr>
    </vt:vector>
  </TitlesOfParts>
  <Company>MPI for polymer research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Pranav Sudersan</dc:creator>
  <cp:lastModifiedBy>Pranav Sudersan</cp:lastModifiedBy>
  <dcterms:created xsi:type="dcterms:W3CDTF">2020-05-20T14:36:47Z</dcterms:created>
  <dcterms:modified xsi:type="dcterms:W3CDTF">2020-11-23T10:02:51Z</dcterms:modified>
</cp:coreProperties>
</file>