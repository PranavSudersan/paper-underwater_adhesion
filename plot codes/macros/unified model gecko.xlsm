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Work\Documents\paper-underwater_adhesion\Data\"/>
    </mc:Choice>
  </mc:AlternateContent>
  <bookViews>
    <workbookView xWindow="0" yWindow="0" windowWidth="19155" windowHeight="8445"/>
  </bookViews>
  <sheets>
    <sheet name="Parameters" sheetId="1" r:id="rId1"/>
    <sheet name="Force data" sheetId="2" r:id="rId2"/>
    <sheet name="Fluid data" sheetId="4" r:id="rId3"/>
    <sheet name="Bubble data" sheetId="3" r:id="rId4"/>
    <sheet name="Rupture data" sheetId="6" r:id="rId5"/>
    <sheet name="Temp" sheetId="5" r:id="rId6"/>
  </sheets>
  <definedNames>
    <definedName name="_xlnm._FilterDatabase" localSheetId="3" hidden="1">'Bubble data'!$A$1:$Z$161</definedName>
    <definedName name="_xlnm._FilterDatabase" localSheetId="2" hidden="1">'Fluid data'!$A$1:$Y$246</definedName>
    <definedName name="Bubble">'Bubble data'!$A$1:$Y$83</definedName>
    <definedName name="Fluid">'Fluid data'!$A$1:$Y$329</definedName>
    <definedName name="Force">'Force data'!$A$1:$K$42</definedName>
    <definedName name="Rupture">'Rupture data'!$A$1:$B$9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H16" i="1" s="1"/>
  <c r="H12" i="1" l="1"/>
  <c r="H20" i="1" l="1"/>
  <c r="H19" i="1"/>
  <c r="G27" i="1" s="1"/>
  <c r="H18" i="1"/>
  <c r="G26" i="1" s="1"/>
  <c r="B21" i="1" l="1"/>
  <c r="E2" i="1" l="1"/>
  <c r="C3" i="1"/>
  <c r="C5" i="1" l="1"/>
  <c r="E18" i="1"/>
  <c r="D18" i="1"/>
  <c r="C18" i="1"/>
  <c r="B18" i="1"/>
  <c r="H6" i="1"/>
  <c r="D9" i="1" l="1"/>
  <c r="E8" i="1"/>
  <c r="D8" i="1"/>
  <c r="E6" i="1"/>
  <c r="H14" i="1" s="1"/>
  <c r="B16" i="1"/>
  <c r="D16" i="1" l="1"/>
  <c r="H15" i="1"/>
  <c r="E7" i="1"/>
  <c r="C7" i="1"/>
</calcChain>
</file>

<file path=xl/sharedStrings.xml><?xml version="1.0" encoding="utf-8"?>
<sst xmlns="http://schemas.openxmlformats.org/spreadsheetml/2006/main" count="113" uniqueCount="83">
  <si>
    <t>Height</t>
  </si>
  <si>
    <t>Force (bubble)</t>
  </si>
  <si>
    <t>Surface Tension</t>
  </si>
  <si>
    <t>Fluid (f)</t>
  </si>
  <si>
    <t>Bubble (b)</t>
  </si>
  <si>
    <t>γ-fa</t>
  </si>
  <si>
    <t>γ-fw</t>
  </si>
  <si>
    <t>γ-wa</t>
  </si>
  <si>
    <t>Contact Angle</t>
  </si>
  <si>
    <t>θ-fa</t>
  </si>
  <si>
    <t>θ-fw</t>
  </si>
  <si>
    <t>θ-wa</t>
  </si>
  <si>
    <t>Length scale</t>
  </si>
  <si>
    <t>s-f</t>
  </si>
  <si>
    <t>s-b</t>
  </si>
  <si>
    <t>Volume</t>
  </si>
  <si>
    <t>Force</t>
  </si>
  <si>
    <t>Bottom_Angle</t>
  </si>
  <si>
    <t>Pin_Radius</t>
  </si>
  <si>
    <t>Elastic_Modulus</t>
  </si>
  <si>
    <t>Aspect_Ratio</t>
  </si>
  <si>
    <t>Ambient_Pressure</t>
  </si>
  <si>
    <t>Base_Height</t>
  </si>
  <si>
    <t>Height_Final</t>
  </si>
  <si>
    <t>Strain</t>
  </si>
  <si>
    <t>Force_Calc</t>
  </si>
  <si>
    <t>Energy</t>
  </si>
  <si>
    <t>Area</t>
  </si>
  <si>
    <t>Scale</t>
  </si>
  <si>
    <t>Pressure</t>
  </si>
  <si>
    <t>Bottom_Length</t>
  </si>
  <si>
    <t>Top_Length</t>
  </si>
  <si>
    <t>Bottom_Area</t>
  </si>
  <si>
    <t>Top_Area</t>
  </si>
  <si>
    <t>Mean_Curvature</t>
  </si>
  <si>
    <t>Min_Radius</t>
  </si>
  <si>
    <t>Max_Radius</t>
  </si>
  <si>
    <t>Pinning_Angle</t>
  </si>
  <si>
    <t>Iterations</t>
  </si>
  <si>
    <t>Pinned Radius</t>
  </si>
  <si>
    <t>Aspect Ratio</t>
  </si>
  <si>
    <t>Packing fraction</t>
  </si>
  <si>
    <t>Hair Aspect Ratio (l/d)</t>
  </si>
  <si>
    <t>Hair Length</t>
  </si>
  <si>
    <t>Length scale ratio (s-b/s-f)</t>
  </si>
  <si>
    <t>Total no. of hairs:</t>
  </si>
  <si>
    <t>Force (water)</t>
  </si>
  <si>
    <t>Force (air)</t>
  </si>
  <si>
    <t>Force (bubble-model)</t>
  </si>
  <si>
    <t>Force_hair_air</t>
  </si>
  <si>
    <t>Force_hair_water</t>
  </si>
  <si>
    <t>Force (hair)</t>
  </si>
  <si>
    <t>Data source</t>
  </si>
  <si>
    <t xml:space="preserve"> </t>
  </si>
  <si>
    <t>Pad/Hair dia (D/d)</t>
  </si>
  <si>
    <t>Vf</t>
  </si>
  <si>
    <t>Vb</t>
  </si>
  <si>
    <t>Range</t>
  </si>
  <si>
    <t>Angle</t>
  </si>
  <si>
    <t>Rupture_Height</t>
  </si>
  <si>
    <t>γ-fw/γ-fa</t>
  </si>
  <si>
    <t>γ-wa/γ-fa</t>
  </si>
  <si>
    <t>Title</t>
  </si>
  <si>
    <t>Step Size</t>
  </si>
  <si>
    <t>Tolerance</t>
  </si>
  <si>
    <t>Import</t>
  </si>
  <si>
    <t>Max force:</t>
  </si>
  <si>
    <t>Air</t>
  </si>
  <si>
    <t>Water</t>
  </si>
  <si>
    <t>Bubble model</t>
  </si>
  <si>
    <r>
      <t>Hair Modulus (em*</t>
    </r>
    <r>
      <rPr>
        <sz val="11"/>
        <color theme="1"/>
        <rFont val="Calibri"/>
        <family val="2"/>
      </rPr>
      <t>γ-fa</t>
    </r>
    <r>
      <rPr>
        <sz val="11"/>
        <color theme="1"/>
        <rFont val="Calibri"/>
        <family val="2"/>
        <charset val="1"/>
      </rPr>
      <t>/s-f)</t>
    </r>
  </si>
  <si>
    <t>Modulus (em)</t>
  </si>
  <si>
    <t>Hair Height (l)</t>
  </si>
  <si>
    <t>Hair diameter (d)</t>
  </si>
  <si>
    <t>Pad diameter (D)</t>
  </si>
  <si>
    <t>Bubble Contact Area</t>
  </si>
  <si>
    <t>Pad  area</t>
  </si>
  <si>
    <t>Hair Area</t>
  </si>
  <si>
    <t>E:\Work\Surface Evolver\Data\Bubble_Bridge\20201020 ladybug data final\D_d=25 (ab=1.5)</t>
  </si>
  <si>
    <t>Gecko air</t>
  </si>
  <si>
    <t>Gecko water</t>
  </si>
  <si>
    <t>N</t>
  </si>
  <si>
    <t>E:\Work\Surface Evolver\Data\Bubble_Bridge\20201028 gecko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</si>
</sst>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0"/>
    <numFmt numFmtId="165" formatCode="0.00000000"/>
  </numFmts>
  <fonts count="7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</font>
    <font>
      <b/>
      <sz val="14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11" fontId="0" fillId="0" borderId="0" xfId="0" applyNumberFormat="1"/>
    <xf numFmtId="0" fontId="0" fillId="0" borderId="1" xfId="0" applyBorder="1"/>
    <xf numFmtId="0" fontId="0" fillId="3" borderId="5" xfId="0" applyFill="1" applyBorder="1"/>
    <xf numFmtId="0" fontId="0" fillId="0" borderId="5" xfId="0" applyBorder="1"/>
    <xf numFmtId="0" fontId="0" fillId="2" borderId="5" xfId="0" applyFill="1" applyBorder="1"/>
    <xf numFmtId="0" fontId="0" fillId="0" borderId="4" xfId="0" applyBorder="1"/>
    <xf numFmtId="11" fontId="0" fillId="3" borderId="5" xfId="0" applyNumberForma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4" xfId="0" applyFont="1" applyBorder="1"/>
    <xf numFmtId="0" fontId="0" fillId="2" borderId="3" xfId="0" applyFill="1" applyBorder="1"/>
    <xf numFmtId="11" fontId="0" fillId="0" borderId="3" xfId="0" applyNumberFormat="1" applyBorder="1"/>
    <xf numFmtId="11" fontId="0" fillId="0" borderId="5" xfId="0" applyNumberFormat="1" applyBorder="1"/>
    <xf numFmtId="0" fontId="0" fillId="2" borderId="7" xfId="0" applyFill="1" applyBorder="1"/>
    <xf numFmtId="164" fontId="0" fillId="0" borderId="4" xfId="0" applyNumberFormat="1" applyBorder="1"/>
    <xf numFmtId="164" fontId="0" fillId="0" borderId="5" xfId="0" applyNumberFormat="1" applyBorder="1"/>
    <xf numFmtId="0" fontId="4" fillId="0" borderId="4" xfId="0" applyFont="1" applyBorder="1"/>
    <xf numFmtId="0" fontId="0" fillId="0" borderId="6" xfId="0" applyFill="1" applyBorder="1"/>
    <xf numFmtId="11" fontId="0" fillId="0" borderId="8" xfId="0" applyNumberFormat="1" applyBorder="1"/>
    <xf numFmtId="165" fontId="0" fillId="0" borderId="6" xfId="0" applyNumberFormat="1" applyBorder="1"/>
    <xf numFmtId="0" fontId="0" fillId="0" borderId="0" xfId="0" applyNumberFormat="1"/>
    <xf numFmtId="164" fontId="0" fillId="0" borderId="0" xfId="0" applyNumberForma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 vertic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</cellXfs>
  <cellStyles count="1">
    <cellStyle name="Normal" xfId="0" builtinId="0"/>
  </cellStyles>
  <dxfs count="3"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0000"/>
      <color rgb="FFFF3300"/>
      <color rgb="FFFBAB9B"/>
      <color rgb="FFFB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D/d=10000 , </a:t>
            </a:r>
            <a:r>
              <a:rPr lang="el-GR"/>
              <a:t>θ-</a:t>
            </a:r>
            <a:r>
              <a:rPr lang="en-US"/>
              <a:t>fa=80 , </a:t>
            </a:r>
            <a:r>
              <a:rPr lang="el-GR"/>
              <a:t>θ-</a:t>
            </a:r>
            <a:r>
              <a:rPr lang="en-US"/>
              <a:t>wa=97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'Force data'!$D$1</c:f>
              <c:strCache>
                <c:ptCount val="1"/>
                <c:pt idx="0">
                  <c:v>Force (hair)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'Force data'!$A$2:$A$42</c:f>
              <c:numCache>
                <c:formatCode>General</c:formatCode>
                <c:ptCount val="41"/>
                <c:pt idx="0">
                  <c:v>0.3</c:v>
                </c:pt>
                <c:pt idx="1">
                  <c:v>0.32500000000000001</c:v>
                </c:pt>
                <c:pt idx="2">
                  <c:v>0.35</c:v>
                </c:pt>
                <c:pt idx="3">
                  <c:v>0.375</c:v>
                </c:pt>
                <c:pt idx="4">
                  <c:v>0.4</c:v>
                </c:pt>
                <c:pt idx="5">
                  <c:v>0.42499999999999999</c:v>
                </c:pt>
                <c:pt idx="6">
                  <c:v>0.45</c:v>
                </c:pt>
                <c:pt idx="7">
                  <c:v>0.47499999999999998</c:v>
                </c:pt>
                <c:pt idx="8">
                  <c:v>0.5</c:v>
                </c:pt>
                <c:pt idx="9">
                  <c:v>0.52500000000000002</c:v>
                </c:pt>
                <c:pt idx="10">
                  <c:v>0.55000000000000004</c:v>
                </c:pt>
                <c:pt idx="11">
                  <c:v>0.57499999999999996</c:v>
                </c:pt>
                <c:pt idx="12">
                  <c:v>0.6</c:v>
                </c:pt>
                <c:pt idx="13">
                  <c:v>0.625</c:v>
                </c:pt>
                <c:pt idx="14">
                  <c:v>0.65</c:v>
                </c:pt>
                <c:pt idx="15">
                  <c:v>0.67500000000000004</c:v>
                </c:pt>
                <c:pt idx="16">
                  <c:v>0.7</c:v>
                </c:pt>
                <c:pt idx="17">
                  <c:v>0.72499999999999998</c:v>
                </c:pt>
                <c:pt idx="18">
                  <c:v>0.75</c:v>
                </c:pt>
                <c:pt idx="19">
                  <c:v>0.77500000000000002</c:v>
                </c:pt>
                <c:pt idx="20">
                  <c:v>0.8</c:v>
                </c:pt>
                <c:pt idx="21">
                  <c:v>0.82499999999999996</c:v>
                </c:pt>
                <c:pt idx="22">
                  <c:v>0.85</c:v>
                </c:pt>
                <c:pt idx="23">
                  <c:v>0.875</c:v>
                </c:pt>
                <c:pt idx="24">
                  <c:v>0.9</c:v>
                </c:pt>
                <c:pt idx="25">
                  <c:v>0.92500000000000004</c:v>
                </c:pt>
                <c:pt idx="26">
                  <c:v>0.95</c:v>
                </c:pt>
                <c:pt idx="27">
                  <c:v>0.97499999999999998</c:v>
                </c:pt>
                <c:pt idx="28">
                  <c:v>1</c:v>
                </c:pt>
                <c:pt idx="29">
                  <c:v>1.0249999999999999</c:v>
                </c:pt>
                <c:pt idx="30">
                  <c:v>1.05</c:v>
                </c:pt>
                <c:pt idx="31">
                  <c:v>1.075</c:v>
                </c:pt>
                <c:pt idx="32">
                  <c:v>1.1000000000000001</c:v>
                </c:pt>
                <c:pt idx="33">
                  <c:v>1.125</c:v>
                </c:pt>
                <c:pt idx="34">
                  <c:v>1.1499999999999999</c:v>
                </c:pt>
                <c:pt idx="35">
                  <c:v>1.175</c:v>
                </c:pt>
                <c:pt idx="36">
                  <c:v>1.2</c:v>
                </c:pt>
                <c:pt idx="37">
                  <c:v>1.2250000000000001</c:v>
                </c:pt>
                <c:pt idx="38">
                  <c:v>1.25</c:v>
                </c:pt>
                <c:pt idx="39">
                  <c:v>1.2749999999999999</c:v>
                </c:pt>
                <c:pt idx="40">
                  <c:v>1.3</c:v>
                </c:pt>
              </c:numCache>
            </c:numRef>
          </c:xVal>
          <c:yVal>
            <c:numRef>
              <c:f>'Force data'!$D$2:$D$42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38-4BFB-B559-19204BE1BE70}"/>
            </c:ext>
          </c:extLst>
        </c:ser>
        <c:ser>
          <c:idx val="3"/>
          <c:order val="3"/>
          <c:tx>
            <c:strRef>
              <c:f>'Force data'!$E$1</c:f>
              <c:strCache>
                <c:ptCount val="1"/>
                <c:pt idx="0">
                  <c:v>Force (bubble)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'Force data'!$A$2:$A$42</c:f>
              <c:numCache>
                <c:formatCode>General</c:formatCode>
                <c:ptCount val="41"/>
                <c:pt idx="0">
                  <c:v>0.3</c:v>
                </c:pt>
                <c:pt idx="1">
                  <c:v>0.32500000000000001</c:v>
                </c:pt>
                <c:pt idx="2">
                  <c:v>0.35</c:v>
                </c:pt>
                <c:pt idx="3">
                  <c:v>0.375</c:v>
                </c:pt>
                <c:pt idx="4">
                  <c:v>0.4</c:v>
                </c:pt>
                <c:pt idx="5">
                  <c:v>0.42499999999999999</c:v>
                </c:pt>
                <c:pt idx="6">
                  <c:v>0.45</c:v>
                </c:pt>
                <c:pt idx="7">
                  <c:v>0.47499999999999998</c:v>
                </c:pt>
                <c:pt idx="8">
                  <c:v>0.5</c:v>
                </c:pt>
                <c:pt idx="9">
                  <c:v>0.52500000000000002</c:v>
                </c:pt>
                <c:pt idx="10">
                  <c:v>0.55000000000000004</c:v>
                </c:pt>
                <c:pt idx="11">
                  <c:v>0.57499999999999996</c:v>
                </c:pt>
                <c:pt idx="12">
                  <c:v>0.6</c:v>
                </c:pt>
                <c:pt idx="13">
                  <c:v>0.625</c:v>
                </c:pt>
                <c:pt idx="14">
                  <c:v>0.65</c:v>
                </c:pt>
                <c:pt idx="15">
                  <c:v>0.67500000000000004</c:v>
                </c:pt>
                <c:pt idx="16">
                  <c:v>0.7</c:v>
                </c:pt>
                <c:pt idx="17">
                  <c:v>0.72499999999999998</c:v>
                </c:pt>
                <c:pt idx="18">
                  <c:v>0.75</c:v>
                </c:pt>
                <c:pt idx="19">
                  <c:v>0.77500000000000002</c:v>
                </c:pt>
                <c:pt idx="20">
                  <c:v>0.8</c:v>
                </c:pt>
                <c:pt idx="21">
                  <c:v>0.82499999999999996</c:v>
                </c:pt>
                <c:pt idx="22">
                  <c:v>0.85</c:v>
                </c:pt>
                <c:pt idx="23">
                  <c:v>0.875</c:v>
                </c:pt>
                <c:pt idx="24">
                  <c:v>0.9</c:v>
                </c:pt>
                <c:pt idx="25">
                  <c:v>0.92500000000000004</c:v>
                </c:pt>
                <c:pt idx="26">
                  <c:v>0.95</c:v>
                </c:pt>
                <c:pt idx="27">
                  <c:v>0.97499999999999998</c:v>
                </c:pt>
                <c:pt idx="28">
                  <c:v>1</c:v>
                </c:pt>
                <c:pt idx="29">
                  <c:v>1.0249999999999999</c:v>
                </c:pt>
                <c:pt idx="30">
                  <c:v>1.05</c:v>
                </c:pt>
                <c:pt idx="31">
                  <c:v>1.075</c:v>
                </c:pt>
                <c:pt idx="32">
                  <c:v>1.1000000000000001</c:v>
                </c:pt>
                <c:pt idx="33">
                  <c:v>1.125</c:v>
                </c:pt>
                <c:pt idx="34">
                  <c:v>1.1499999999999999</c:v>
                </c:pt>
                <c:pt idx="35">
                  <c:v>1.175</c:v>
                </c:pt>
                <c:pt idx="36">
                  <c:v>1.2</c:v>
                </c:pt>
                <c:pt idx="37">
                  <c:v>1.2250000000000001</c:v>
                </c:pt>
                <c:pt idx="38">
                  <c:v>1.25</c:v>
                </c:pt>
                <c:pt idx="39">
                  <c:v>1.2749999999999999</c:v>
                </c:pt>
                <c:pt idx="40">
                  <c:v>1.3</c:v>
                </c:pt>
              </c:numCache>
            </c:numRef>
          </c:xVal>
          <c:yVal>
            <c:numRef>
              <c:f>'Force data'!$E$2:$E$42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38-4BFB-B559-19204BE1BE70}"/>
            </c:ext>
          </c:extLst>
        </c:ser>
        <c:ser>
          <c:idx val="4"/>
          <c:order val="4"/>
          <c:tx>
            <c:strRef>
              <c:f>'Force data'!$F$1</c:f>
              <c:strCache>
                <c:ptCount val="1"/>
                <c:pt idx="0">
                  <c:v>Force (bubble-model)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'Force data'!$A$2:$A$42</c:f>
              <c:numCache>
                <c:formatCode>General</c:formatCode>
                <c:ptCount val="41"/>
                <c:pt idx="0">
                  <c:v>0.3</c:v>
                </c:pt>
                <c:pt idx="1">
                  <c:v>0.32500000000000001</c:v>
                </c:pt>
                <c:pt idx="2">
                  <c:v>0.35</c:v>
                </c:pt>
                <c:pt idx="3">
                  <c:v>0.375</c:v>
                </c:pt>
                <c:pt idx="4">
                  <c:v>0.4</c:v>
                </c:pt>
                <c:pt idx="5">
                  <c:v>0.42499999999999999</c:v>
                </c:pt>
                <c:pt idx="6">
                  <c:v>0.45</c:v>
                </c:pt>
                <c:pt idx="7">
                  <c:v>0.47499999999999998</c:v>
                </c:pt>
                <c:pt idx="8">
                  <c:v>0.5</c:v>
                </c:pt>
                <c:pt idx="9">
                  <c:v>0.52500000000000002</c:v>
                </c:pt>
                <c:pt idx="10">
                  <c:v>0.55000000000000004</c:v>
                </c:pt>
                <c:pt idx="11">
                  <c:v>0.57499999999999996</c:v>
                </c:pt>
                <c:pt idx="12">
                  <c:v>0.6</c:v>
                </c:pt>
                <c:pt idx="13">
                  <c:v>0.625</c:v>
                </c:pt>
                <c:pt idx="14">
                  <c:v>0.65</c:v>
                </c:pt>
                <c:pt idx="15">
                  <c:v>0.67500000000000004</c:v>
                </c:pt>
                <c:pt idx="16">
                  <c:v>0.7</c:v>
                </c:pt>
                <c:pt idx="17">
                  <c:v>0.72499999999999998</c:v>
                </c:pt>
                <c:pt idx="18">
                  <c:v>0.75</c:v>
                </c:pt>
                <c:pt idx="19">
                  <c:v>0.77500000000000002</c:v>
                </c:pt>
                <c:pt idx="20">
                  <c:v>0.8</c:v>
                </c:pt>
                <c:pt idx="21">
                  <c:v>0.82499999999999996</c:v>
                </c:pt>
                <c:pt idx="22">
                  <c:v>0.85</c:v>
                </c:pt>
                <c:pt idx="23">
                  <c:v>0.875</c:v>
                </c:pt>
                <c:pt idx="24">
                  <c:v>0.9</c:v>
                </c:pt>
                <c:pt idx="25">
                  <c:v>0.92500000000000004</c:v>
                </c:pt>
                <c:pt idx="26">
                  <c:v>0.95</c:v>
                </c:pt>
                <c:pt idx="27">
                  <c:v>0.97499999999999998</c:v>
                </c:pt>
                <c:pt idx="28">
                  <c:v>1</c:v>
                </c:pt>
                <c:pt idx="29">
                  <c:v>1.0249999999999999</c:v>
                </c:pt>
                <c:pt idx="30">
                  <c:v>1.05</c:v>
                </c:pt>
                <c:pt idx="31">
                  <c:v>1.075</c:v>
                </c:pt>
                <c:pt idx="32">
                  <c:v>1.1000000000000001</c:v>
                </c:pt>
                <c:pt idx="33">
                  <c:v>1.125</c:v>
                </c:pt>
                <c:pt idx="34">
                  <c:v>1.1499999999999999</c:v>
                </c:pt>
                <c:pt idx="35">
                  <c:v>1.175</c:v>
                </c:pt>
                <c:pt idx="36">
                  <c:v>1.2</c:v>
                </c:pt>
                <c:pt idx="37">
                  <c:v>1.2250000000000001</c:v>
                </c:pt>
                <c:pt idx="38">
                  <c:v>1.25</c:v>
                </c:pt>
                <c:pt idx="39">
                  <c:v>1.2749999999999999</c:v>
                </c:pt>
                <c:pt idx="40">
                  <c:v>1.3</c:v>
                </c:pt>
              </c:numCache>
            </c:numRef>
          </c:xVal>
          <c:yVal>
            <c:numRef>
              <c:f>'Force data'!$F$2:$F$42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0B-4D71-9281-E2B89EEEA75E}"/>
            </c:ext>
          </c:extLst>
        </c:ser>
        <c:ser>
          <c:idx val="5"/>
          <c:order val="5"/>
          <c:tx>
            <c:strRef>
              <c:f>'Force data'!$G$1</c:f>
              <c:strCache>
                <c:ptCount val="1"/>
                <c:pt idx="0">
                  <c:v>Force (air)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'Force data'!$A$2:$A$42</c:f>
              <c:numCache>
                <c:formatCode>General</c:formatCode>
                <c:ptCount val="41"/>
                <c:pt idx="0">
                  <c:v>0.3</c:v>
                </c:pt>
                <c:pt idx="1">
                  <c:v>0.32500000000000001</c:v>
                </c:pt>
                <c:pt idx="2">
                  <c:v>0.35</c:v>
                </c:pt>
                <c:pt idx="3">
                  <c:v>0.375</c:v>
                </c:pt>
                <c:pt idx="4">
                  <c:v>0.4</c:v>
                </c:pt>
                <c:pt idx="5">
                  <c:v>0.42499999999999999</c:v>
                </c:pt>
                <c:pt idx="6">
                  <c:v>0.45</c:v>
                </c:pt>
                <c:pt idx="7">
                  <c:v>0.47499999999999998</c:v>
                </c:pt>
                <c:pt idx="8">
                  <c:v>0.5</c:v>
                </c:pt>
                <c:pt idx="9">
                  <c:v>0.52500000000000002</c:v>
                </c:pt>
                <c:pt idx="10">
                  <c:v>0.55000000000000004</c:v>
                </c:pt>
                <c:pt idx="11">
                  <c:v>0.57499999999999996</c:v>
                </c:pt>
                <c:pt idx="12">
                  <c:v>0.6</c:v>
                </c:pt>
                <c:pt idx="13">
                  <c:v>0.625</c:v>
                </c:pt>
                <c:pt idx="14">
                  <c:v>0.65</c:v>
                </c:pt>
                <c:pt idx="15">
                  <c:v>0.67500000000000004</c:v>
                </c:pt>
                <c:pt idx="16">
                  <c:v>0.7</c:v>
                </c:pt>
                <c:pt idx="17">
                  <c:v>0.72499999999999998</c:v>
                </c:pt>
                <c:pt idx="18">
                  <c:v>0.75</c:v>
                </c:pt>
                <c:pt idx="19">
                  <c:v>0.77500000000000002</c:v>
                </c:pt>
                <c:pt idx="20">
                  <c:v>0.8</c:v>
                </c:pt>
                <c:pt idx="21">
                  <c:v>0.82499999999999996</c:v>
                </c:pt>
                <c:pt idx="22">
                  <c:v>0.85</c:v>
                </c:pt>
                <c:pt idx="23">
                  <c:v>0.875</c:v>
                </c:pt>
                <c:pt idx="24">
                  <c:v>0.9</c:v>
                </c:pt>
                <c:pt idx="25">
                  <c:v>0.92500000000000004</c:v>
                </c:pt>
                <c:pt idx="26">
                  <c:v>0.95</c:v>
                </c:pt>
                <c:pt idx="27">
                  <c:v>0.97499999999999998</c:v>
                </c:pt>
                <c:pt idx="28">
                  <c:v>1</c:v>
                </c:pt>
                <c:pt idx="29">
                  <c:v>1.0249999999999999</c:v>
                </c:pt>
                <c:pt idx="30">
                  <c:v>1.05</c:v>
                </c:pt>
                <c:pt idx="31">
                  <c:v>1.075</c:v>
                </c:pt>
                <c:pt idx="32">
                  <c:v>1.1000000000000001</c:v>
                </c:pt>
                <c:pt idx="33">
                  <c:v>1.125</c:v>
                </c:pt>
                <c:pt idx="34">
                  <c:v>1.1499999999999999</c:v>
                </c:pt>
                <c:pt idx="35">
                  <c:v>1.175</c:v>
                </c:pt>
                <c:pt idx="36">
                  <c:v>1.2</c:v>
                </c:pt>
                <c:pt idx="37">
                  <c:v>1.2250000000000001</c:v>
                </c:pt>
                <c:pt idx="38">
                  <c:v>1.25</c:v>
                </c:pt>
                <c:pt idx="39">
                  <c:v>1.2749999999999999</c:v>
                </c:pt>
                <c:pt idx="40">
                  <c:v>1.3</c:v>
                </c:pt>
              </c:numCache>
            </c:numRef>
          </c:xVal>
          <c:yVal>
            <c:numRef>
              <c:f>'Force data'!$G$2:$G$42</c:f>
              <c:numCache>
                <c:formatCode>General</c:formatCode>
                <c:ptCount val="41"/>
                <c:pt idx="0">
                  <c:v>659.44582284816011</c:v>
                </c:pt>
                <c:pt idx="1">
                  <c:v>-207.35826908202537</c:v>
                </c:pt>
                <c:pt idx="2">
                  <c:v>-829.76069028406698</c:v>
                </c:pt>
                <c:pt idx="3">
                  <c:v>-1015.2575358413096</c:v>
                </c:pt>
                <c:pt idx="4">
                  <c:v>-1001.6615759500538</c:v>
                </c:pt>
                <c:pt idx="5">
                  <c:v>-928.74969095380175</c:v>
                </c:pt>
                <c:pt idx="6">
                  <c:v>-848.35636794178356</c:v>
                </c:pt>
                <c:pt idx="7">
                  <c:v>-773.46014226709178</c:v>
                </c:pt>
                <c:pt idx="8">
                  <c:v>-706.67448807349103</c:v>
                </c:pt>
                <c:pt idx="9">
                  <c:v>-647.3692577468895</c:v>
                </c:pt>
                <c:pt idx="10">
                  <c:v>-596.59867936545743</c:v>
                </c:pt>
                <c:pt idx="11">
                  <c:v>-551.32290716741852</c:v>
                </c:pt>
                <c:pt idx="12">
                  <c:v>-511.50997509630281</c:v>
                </c:pt>
                <c:pt idx="13">
                  <c:v>-476.09214690602801</c:v>
                </c:pt>
                <c:pt idx="14">
                  <c:v>-444.56940017312377</c:v>
                </c:pt>
                <c:pt idx="15">
                  <c:v>-416.15239337211585</c:v>
                </c:pt>
                <c:pt idx="16">
                  <c:v>-390.37080826531712</c:v>
                </c:pt>
                <c:pt idx="17">
                  <c:v>-366.95645663442787</c:v>
                </c:pt>
                <c:pt idx="18">
                  <c:v>-345.60835049823942</c:v>
                </c:pt>
                <c:pt idx="19">
                  <c:v>-325.92858502766825</c:v>
                </c:pt>
                <c:pt idx="20">
                  <c:v>-307.63213744400286</c:v>
                </c:pt>
                <c:pt idx="21">
                  <c:v>-290.73667167090031</c:v>
                </c:pt>
                <c:pt idx="22">
                  <c:v>-275.11515463096862</c:v>
                </c:pt>
                <c:pt idx="23">
                  <c:v>-260.29813976258345</c:v>
                </c:pt>
                <c:pt idx="24">
                  <c:v>-246.71340826287732</c:v>
                </c:pt>
                <c:pt idx="25">
                  <c:v>-233.76084500092998</c:v>
                </c:pt>
                <c:pt idx="26">
                  <c:v>-221.36883246482023</c:v>
                </c:pt>
                <c:pt idx="27">
                  <c:v>-209.56212149592227</c:v>
                </c:pt>
                <c:pt idx="28">
                  <c:v>-198.07330263965633</c:v>
                </c:pt>
                <c:pt idx="29">
                  <c:v>-187.35105301814821</c:v>
                </c:pt>
                <c:pt idx="30">
                  <c:v>-176.93715069100381</c:v>
                </c:pt>
                <c:pt idx="31">
                  <c:v>-166.96983505148958</c:v>
                </c:pt>
                <c:pt idx="32">
                  <c:v>-156.3590720099487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0B-4D71-9281-E2B89EEEA75E}"/>
            </c:ext>
          </c:extLst>
        </c:ser>
        <c:ser>
          <c:idx val="6"/>
          <c:order val="6"/>
          <c:tx>
            <c:strRef>
              <c:f>'Force data'!$H$1</c:f>
              <c:strCache>
                <c:ptCount val="1"/>
                <c:pt idx="0">
                  <c:v>Force (water)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'Force data'!$A$2:$A$42</c:f>
              <c:numCache>
                <c:formatCode>General</c:formatCode>
                <c:ptCount val="41"/>
                <c:pt idx="0">
                  <c:v>0.3</c:v>
                </c:pt>
                <c:pt idx="1">
                  <c:v>0.32500000000000001</c:v>
                </c:pt>
                <c:pt idx="2">
                  <c:v>0.35</c:v>
                </c:pt>
                <c:pt idx="3">
                  <c:v>0.375</c:v>
                </c:pt>
                <c:pt idx="4">
                  <c:v>0.4</c:v>
                </c:pt>
                <c:pt idx="5">
                  <c:v>0.42499999999999999</c:v>
                </c:pt>
                <c:pt idx="6">
                  <c:v>0.45</c:v>
                </c:pt>
                <c:pt idx="7">
                  <c:v>0.47499999999999998</c:v>
                </c:pt>
                <c:pt idx="8">
                  <c:v>0.5</c:v>
                </c:pt>
                <c:pt idx="9">
                  <c:v>0.52500000000000002</c:v>
                </c:pt>
                <c:pt idx="10">
                  <c:v>0.55000000000000004</c:v>
                </c:pt>
                <c:pt idx="11">
                  <c:v>0.57499999999999996</c:v>
                </c:pt>
                <c:pt idx="12">
                  <c:v>0.6</c:v>
                </c:pt>
                <c:pt idx="13">
                  <c:v>0.625</c:v>
                </c:pt>
                <c:pt idx="14">
                  <c:v>0.65</c:v>
                </c:pt>
                <c:pt idx="15">
                  <c:v>0.67500000000000004</c:v>
                </c:pt>
                <c:pt idx="16">
                  <c:v>0.7</c:v>
                </c:pt>
                <c:pt idx="17">
                  <c:v>0.72499999999999998</c:v>
                </c:pt>
                <c:pt idx="18">
                  <c:v>0.75</c:v>
                </c:pt>
                <c:pt idx="19">
                  <c:v>0.77500000000000002</c:v>
                </c:pt>
                <c:pt idx="20">
                  <c:v>0.8</c:v>
                </c:pt>
                <c:pt idx="21">
                  <c:v>0.82499999999999996</c:v>
                </c:pt>
                <c:pt idx="22">
                  <c:v>0.85</c:v>
                </c:pt>
                <c:pt idx="23">
                  <c:v>0.875</c:v>
                </c:pt>
                <c:pt idx="24">
                  <c:v>0.9</c:v>
                </c:pt>
                <c:pt idx="25">
                  <c:v>0.92500000000000004</c:v>
                </c:pt>
                <c:pt idx="26">
                  <c:v>0.95</c:v>
                </c:pt>
                <c:pt idx="27">
                  <c:v>0.97499999999999998</c:v>
                </c:pt>
                <c:pt idx="28">
                  <c:v>1</c:v>
                </c:pt>
                <c:pt idx="29">
                  <c:v>1.0249999999999999</c:v>
                </c:pt>
                <c:pt idx="30">
                  <c:v>1.05</c:v>
                </c:pt>
                <c:pt idx="31">
                  <c:v>1.075</c:v>
                </c:pt>
                <c:pt idx="32">
                  <c:v>1.1000000000000001</c:v>
                </c:pt>
                <c:pt idx="33">
                  <c:v>1.125</c:v>
                </c:pt>
                <c:pt idx="34">
                  <c:v>1.1499999999999999</c:v>
                </c:pt>
                <c:pt idx="35">
                  <c:v>1.175</c:v>
                </c:pt>
                <c:pt idx="36">
                  <c:v>1.2</c:v>
                </c:pt>
                <c:pt idx="37">
                  <c:v>1.2250000000000001</c:v>
                </c:pt>
                <c:pt idx="38">
                  <c:v>1.25</c:v>
                </c:pt>
                <c:pt idx="39">
                  <c:v>1.2749999999999999</c:v>
                </c:pt>
                <c:pt idx="40">
                  <c:v>1.3</c:v>
                </c:pt>
              </c:numCache>
            </c:numRef>
          </c:xVal>
          <c:yVal>
            <c:numRef>
              <c:f>'Force data'!$H$2:$H$42</c:f>
              <c:numCache>
                <c:formatCode>General</c:formatCode>
                <c:ptCount val="41"/>
                <c:pt idx="0">
                  <c:v>468.52878198666559</c:v>
                </c:pt>
                <c:pt idx="1">
                  <c:v>-715.38471360299604</c:v>
                </c:pt>
                <c:pt idx="2">
                  <c:v>-1508.8340979283489</c:v>
                </c:pt>
                <c:pt idx="3">
                  <c:v>-1692.9312912354922</c:v>
                </c:pt>
                <c:pt idx="4">
                  <c:v>-1623.9452814295091</c:v>
                </c:pt>
                <c:pt idx="5">
                  <c:v>-1486.0356160433262</c:v>
                </c:pt>
                <c:pt idx="6">
                  <c:v>-1347.1866603262954</c:v>
                </c:pt>
                <c:pt idx="7">
                  <c:v>-1222.5555956044691</c:v>
                </c:pt>
                <c:pt idx="8">
                  <c:v>-1115.3472215674758</c:v>
                </c:pt>
                <c:pt idx="9">
                  <c:v>-1020.2606820213248</c:v>
                </c:pt>
                <c:pt idx="10">
                  <c:v>-940.8580142151759</c:v>
                </c:pt>
                <c:pt idx="11">
                  <c:v>-867.92088176146422</c:v>
                </c:pt>
                <c:pt idx="12">
                  <c:v>-805.52392512522999</c:v>
                </c:pt>
                <c:pt idx="13">
                  <c:v>-750.04426006053598</c:v>
                </c:pt>
                <c:pt idx="14">
                  <c:v>-700.75368779143525</c:v>
                </c:pt>
                <c:pt idx="15">
                  <c:v>-656.65160398786986</c:v>
                </c:pt>
                <c:pt idx="16">
                  <c:v>-616.31748956081447</c:v>
                </c:pt>
                <c:pt idx="17">
                  <c:v>-580.08535279263594</c:v>
                </c:pt>
                <c:pt idx="18">
                  <c:v>-547.01113458577311</c:v>
                </c:pt>
                <c:pt idx="19">
                  <c:v>-516.42372740801227</c:v>
                </c:pt>
                <c:pt idx="20">
                  <c:v>-487.99630938312146</c:v>
                </c:pt>
                <c:pt idx="21">
                  <c:v>-462.9683565315911</c:v>
                </c:pt>
                <c:pt idx="22">
                  <c:v>-439.31559648768928</c:v>
                </c:pt>
                <c:pt idx="23">
                  <c:v>-416.33269583840723</c:v>
                </c:pt>
                <c:pt idx="24">
                  <c:v>-395.67321079836398</c:v>
                </c:pt>
                <c:pt idx="25">
                  <c:v>-376.02170894324229</c:v>
                </c:pt>
                <c:pt idx="26">
                  <c:v>-357.47421371823486</c:v>
                </c:pt>
                <c:pt idx="27">
                  <c:v>-339.61394005288605</c:v>
                </c:pt>
                <c:pt idx="28">
                  <c:v>-323.07264219611</c:v>
                </c:pt>
                <c:pt idx="29">
                  <c:v>-306.65995954848432</c:v>
                </c:pt>
                <c:pt idx="30">
                  <c:v>-313.8564337490393</c:v>
                </c:pt>
                <c:pt idx="31">
                  <c:v>-277.030635119858</c:v>
                </c:pt>
                <c:pt idx="32">
                  <c:v>-263.12150892771092</c:v>
                </c:pt>
                <c:pt idx="33">
                  <c:v>-249.76259468090279</c:v>
                </c:pt>
                <c:pt idx="34">
                  <c:v>-234.20789906403218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0B-4D71-9281-E2B89EEEA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687984"/>
        <c:axId val="91969172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'Force data'!$B$1</c15:sqref>
                        </c15:formulaRef>
                      </c:ext>
                    </c:extLst>
                    <c:strCache>
                      <c:ptCount val="1"/>
                      <c:pt idx="0">
                        <c:v>Force_hair_air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'Force data'!$A$2:$A$42</c15:sqref>
                        </c15:formulaRef>
                      </c:ext>
                    </c:extLst>
                    <c:numCache>
                      <c:formatCode>General</c:formatCode>
                      <c:ptCount val="41"/>
                      <c:pt idx="0">
                        <c:v>0.3</c:v>
                      </c:pt>
                      <c:pt idx="1">
                        <c:v>0.32500000000000001</c:v>
                      </c:pt>
                      <c:pt idx="2">
                        <c:v>0.35</c:v>
                      </c:pt>
                      <c:pt idx="3">
                        <c:v>0.375</c:v>
                      </c:pt>
                      <c:pt idx="4">
                        <c:v>0.4</c:v>
                      </c:pt>
                      <c:pt idx="5">
                        <c:v>0.42499999999999999</c:v>
                      </c:pt>
                      <c:pt idx="6">
                        <c:v>0.45</c:v>
                      </c:pt>
                      <c:pt idx="7">
                        <c:v>0.47499999999999998</c:v>
                      </c:pt>
                      <c:pt idx="8">
                        <c:v>0.5</c:v>
                      </c:pt>
                      <c:pt idx="9">
                        <c:v>0.52500000000000002</c:v>
                      </c:pt>
                      <c:pt idx="10">
                        <c:v>0.55000000000000004</c:v>
                      </c:pt>
                      <c:pt idx="11">
                        <c:v>0.57499999999999996</c:v>
                      </c:pt>
                      <c:pt idx="12">
                        <c:v>0.6</c:v>
                      </c:pt>
                      <c:pt idx="13">
                        <c:v>0.625</c:v>
                      </c:pt>
                      <c:pt idx="14">
                        <c:v>0.65</c:v>
                      </c:pt>
                      <c:pt idx="15">
                        <c:v>0.67500000000000004</c:v>
                      </c:pt>
                      <c:pt idx="16">
                        <c:v>0.7</c:v>
                      </c:pt>
                      <c:pt idx="17">
                        <c:v>0.72499999999999998</c:v>
                      </c:pt>
                      <c:pt idx="18">
                        <c:v>0.75</c:v>
                      </c:pt>
                      <c:pt idx="19">
                        <c:v>0.77500000000000002</c:v>
                      </c:pt>
                      <c:pt idx="20">
                        <c:v>0.8</c:v>
                      </c:pt>
                      <c:pt idx="21">
                        <c:v>0.82499999999999996</c:v>
                      </c:pt>
                      <c:pt idx="22">
                        <c:v>0.85</c:v>
                      </c:pt>
                      <c:pt idx="23">
                        <c:v>0.875</c:v>
                      </c:pt>
                      <c:pt idx="24">
                        <c:v>0.9</c:v>
                      </c:pt>
                      <c:pt idx="25">
                        <c:v>0.92500000000000004</c:v>
                      </c:pt>
                      <c:pt idx="26">
                        <c:v>0.95</c:v>
                      </c:pt>
                      <c:pt idx="27">
                        <c:v>0.97499999999999998</c:v>
                      </c:pt>
                      <c:pt idx="28">
                        <c:v>1</c:v>
                      </c:pt>
                      <c:pt idx="29">
                        <c:v>1.0249999999999999</c:v>
                      </c:pt>
                      <c:pt idx="30">
                        <c:v>1.05</c:v>
                      </c:pt>
                      <c:pt idx="31">
                        <c:v>1.075</c:v>
                      </c:pt>
                      <c:pt idx="32">
                        <c:v>1.1000000000000001</c:v>
                      </c:pt>
                      <c:pt idx="33">
                        <c:v>1.125</c:v>
                      </c:pt>
                      <c:pt idx="34">
                        <c:v>1.1499999999999999</c:v>
                      </c:pt>
                      <c:pt idx="35">
                        <c:v>1.175</c:v>
                      </c:pt>
                      <c:pt idx="36">
                        <c:v>1.2</c:v>
                      </c:pt>
                      <c:pt idx="37">
                        <c:v>1.2250000000000001</c:v>
                      </c:pt>
                      <c:pt idx="38">
                        <c:v>1.25</c:v>
                      </c:pt>
                      <c:pt idx="39">
                        <c:v>1.2749999999999999</c:v>
                      </c:pt>
                      <c:pt idx="40">
                        <c:v>1.3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'Force data'!$B$2:$B$42</c15:sqref>
                        </c15:formulaRef>
                      </c:ext>
                    </c:extLst>
                    <c:numCache>
                      <c:formatCode>General</c:formatCode>
                      <c:ptCount val="4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338-4BFB-B559-19204BE1BE70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'Force data'!$C$1</c15:sqref>
                        </c15:formulaRef>
                      </c:ext>
                    </c:extLst>
                    <c:strCache>
                      <c:ptCount val="1"/>
                      <c:pt idx="0">
                        <c:v>Force_hair_water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'Force data'!$A$2:$A$42</c15:sqref>
                        </c15:formulaRef>
                      </c:ext>
                    </c:extLst>
                    <c:numCache>
                      <c:formatCode>General</c:formatCode>
                      <c:ptCount val="41"/>
                      <c:pt idx="0">
                        <c:v>0.3</c:v>
                      </c:pt>
                      <c:pt idx="1">
                        <c:v>0.32500000000000001</c:v>
                      </c:pt>
                      <c:pt idx="2">
                        <c:v>0.35</c:v>
                      </c:pt>
                      <c:pt idx="3">
                        <c:v>0.375</c:v>
                      </c:pt>
                      <c:pt idx="4">
                        <c:v>0.4</c:v>
                      </c:pt>
                      <c:pt idx="5">
                        <c:v>0.42499999999999999</c:v>
                      </c:pt>
                      <c:pt idx="6">
                        <c:v>0.45</c:v>
                      </c:pt>
                      <c:pt idx="7">
                        <c:v>0.47499999999999998</c:v>
                      </c:pt>
                      <c:pt idx="8">
                        <c:v>0.5</c:v>
                      </c:pt>
                      <c:pt idx="9">
                        <c:v>0.52500000000000002</c:v>
                      </c:pt>
                      <c:pt idx="10">
                        <c:v>0.55000000000000004</c:v>
                      </c:pt>
                      <c:pt idx="11">
                        <c:v>0.57499999999999996</c:v>
                      </c:pt>
                      <c:pt idx="12">
                        <c:v>0.6</c:v>
                      </c:pt>
                      <c:pt idx="13">
                        <c:v>0.625</c:v>
                      </c:pt>
                      <c:pt idx="14">
                        <c:v>0.65</c:v>
                      </c:pt>
                      <c:pt idx="15">
                        <c:v>0.67500000000000004</c:v>
                      </c:pt>
                      <c:pt idx="16">
                        <c:v>0.7</c:v>
                      </c:pt>
                      <c:pt idx="17">
                        <c:v>0.72499999999999998</c:v>
                      </c:pt>
                      <c:pt idx="18">
                        <c:v>0.75</c:v>
                      </c:pt>
                      <c:pt idx="19">
                        <c:v>0.77500000000000002</c:v>
                      </c:pt>
                      <c:pt idx="20">
                        <c:v>0.8</c:v>
                      </c:pt>
                      <c:pt idx="21">
                        <c:v>0.82499999999999996</c:v>
                      </c:pt>
                      <c:pt idx="22">
                        <c:v>0.85</c:v>
                      </c:pt>
                      <c:pt idx="23">
                        <c:v>0.875</c:v>
                      </c:pt>
                      <c:pt idx="24">
                        <c:v>0.9</c:v>
                      </c:pt>
                      <c:pt idx="25">
                        <c:v>0.92500000000000004</c:v>
                      </c:pt>
                      <c:pt idx="26">
                        <c:v>0.95</c:v>
                      </c:pt>
                      <c:pt idx="27">
                        <c:v>0.97499999999999998</c:v>
                      </c:pt>
                      <c:pt idx="28">
                        <c:v>1</c:v>
                      </c:pt>
                      <c:pt idx="29">
                        <c:v>1.0249999999999999</c:v>
                      </c:pt>
                      <c:pt idx="30">
                        <c:v>1.05</c:v>
                      </c:pt>
                      <c:pt idx="31">
                        <c:v>1.075</c:v>
                      </c:pt>
                      <c:pt idx="32">
                        <c:v>1.1000000000000001</c:v>
                      </c:pt>
                      <c:pt idx="33">
                        <c:v>1.125</c:v>
                      </c:pt>
                      <c:pt idx="34">
                        <c:v>1.1499999999999999</c:v>
                      </c:pt>
                      <c:pt idx="35">
                        <c:v>1.175</c:v>
                      </c:pt>
                      <c:pt idx="36">
                        <c:v>1.2</c:v>
                      </c:pt>
                      <c:pt idx="37">
                        <c:v>1.2250000000000001</c:v>
                      </c:pt>
                      <c:pt idx="38">
                        <c:v>1.25</c:v>
                      </c:pt>
                      <c:pt idx="39">
                        <c:v>1.2749999999999999</c:v>
                      </c:pt>
                      <c:pt idx="40">
                        <c:v>1.3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'Force data'!$C$2:$C$42</c15:sqref>
                        </c15:formulaRef>
                      </c:ext>
                    </c:extLst>
                    <c:numCache>
                      <c:formatCode>General</c:formatCode>
                      <c:ptCount val="4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338-4BFB-B559-19204BE1BE70}"/>
                  </c:ext>
                </c:extLst>
              </c15:ser>
            </c15:filteredScatterSeries>
          </c:ext>
        </c:extLst>
      </c:scatterChart>
      <c:valAx>
        <c:axId val="919687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691728"/>
        <c:crosses val="autoZero"/>
        <c:crossBetween val="midCat"/>
      </c:valAx>
      <c:valAx>
        <c:axId val="9196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687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022985890808591E-2"/>
          <c:y val="0.92769020203078612"/>
          <c:w val="0.94461765313043733"/>
          <c:h val="6.3802011815682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9</xdr:row>
          <xdr:rowOff>95250</xdr:rowOff>
        </xdr:from>
        <xdr:to>
          <xdr:col>2</xdr:col>
          <xdr:colOff>428625</xdr:colOff>
          <xdr:row>11</xdr:row>
          <xdr:rowOff>114300</xdr:rowOff>
        </xdr:to>
        <xdr:sp macro="" textlink="">
          <xdr:nvSpPr>
            <xdr:cNvPr id="1027" name="Fluid data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Fluid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9</xdr:row>
          <xdr:rowOff>57150</xdr:rowOff>
        </xdr:from>
        <xdr:to>
          <xdr:col>4</xdr:col>
          <xdr:colOff>428625</xdr:colOff>
          <xdr:row>11</xdr:row>
          <xdr:rowOff>123825</xdr:rowOff>
        </xdr:to>
        <xdr:sp macro="" textlink="">
          <xdr:nvSpPr>
            <xdr:cNvPr id="1028" name="Bubble dat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Bubble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7</xdr:row>
          <xdr:rowOff>161925</xdr:rowOff>
        </xdr:from>
        <xdr:to>
          <xdr:col>7</xdr:col>
          <xdr:colOff>142875</xdr:colOff>
          <xdr:row>9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CALCULATE!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85724</xdr:colOff>
      <xdr:row>0</xdr:row>
      <xdr:rowOff>76199</xdr:rowOff>
    </xdr:from>
    <xdr:to>
      <xdr:col>18</xdr:col>
      <xdr:colOff>104775</xdr:colOff>
      <xdr:row>25</xdr:row>
      <xdr:rowOff>171450</xdr:rowOff>
    </xdr:to>
    <xdr:graphicFrame macro="">
      <xdr:nvGraphicFramePr>
        <xdr:cNvPr id="6" name="Main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21</xdr:row>
          <xdr:rowOff>19050</xdr:rowOff>
        </xdr:from>
        <xdr:to>
          <xdr:col>7</xdr:col>
          <xdr:colOff>171450</xdr:colOff>
          <xdr:row>23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 TEMPLATE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7"/>
  <sheetViews>
    <sheetView tabSelected="1" workbookViewId="0">
      <selection activeCell="C5" sqref="C5"/>
    </sheetView>
  </sheetViews>
  <sheetFormatPr defaultRowHeight="15" x14ac:dyDescent="0.25"/>
  <cols>
    <col min="1" max="1" width="15.140625" bestFit="1" customWidth="1"/>
    <col min="2" max="3" width="9.140625" customWidth="1"/>
    <col min="4" max="4" width="10.5703125" bestFit="1" customWidth="1"/>
    <col min="7" max="7" width="24.5703125" bestFit="1" customWidth="1"/>
  </cols>
  <sheetData>
    <row r="1" spans="1:8" ht="15.75" thickBot="1" x14ac:dyDescent="0.3">
      <c r="A1" s="2"/>
      <c r="B1" s="27" t="s">
        <v>3</v>
      </c>
      <c r="C1" s="28"/>
      <c r="D1" s="27" t="s">
        <v>4</v>
      </c>
      <c r="E1" s="28"/>
      <c r="G1" s="2" t="s">
        <v>41</v>
      </c>
      <c r="H1" s="12">
        <v>0.1</v>
      </c>
    </row>
    <row r="2" spans="1:8" x14ac:dyDescent="0.25">
      <c r="A2" s="26" t="s">
        <v>2</v>
      </c>
      <c r="B2" s="11" t="s">
        <v>5</v>
      </c>
      <c r="C2" s="3">
        <v>30</v>
      </c>
      <c r="D2" s="11" t="s">
        <v>7</v>
      </c>
      <c r="E2" s="4">
        <f>C2*H5</f>
        <v>72</v>
      </c>
      <c r="G2" s="6" t="s">
        <v>54</v>
      </c>
      <c r="H2" s="5">
        <v>10000</v>
      </c>
    </row>
    <row r="3" spans="1:8" x14ac:dyDescent="0.25">
      <c r="A3" s="26"/>
      <c r="B3" s="11" t="s">
        <v>6</v>
      </c>
      <c r="C3" s="4">
        <f>C2*H4</f>
        <v>42</v>
      </c>
      <c r="D3" s="6"/>
      <c r="E3" s="4"/>
      <c r="G3" s="6" t="s">
        <v>42</v>
      </c>
      <c r="H3" s="5">
        <v>5</v>
      </c>
    </row>
    <row r="4" spans="1:8" x14ac:dyDescent="0.25">
      <c r="A4" s="26" t="s">
        <v>8</v>
      </c>
      <c r="B4" s="11" t="s">
        <v>9</v>
      </c>
      <c r="C4" s="5">
        <v>80</v>
      </c>
      <c r="D4" s="11" t="s">
        <v>11</v>
      </c>
      <c r="E4" s="5">
        <v>97</v>
      </c>
      <c r="G4" s="6" t="s">
        <v>60</v>
      </c>
      <c r="H4" s="5">
        <v>1.4</v>
      </c>
    </row>
    <row r="5" spans="1:8" x14ac:dyDescent="0.25">
      <c r="A5" s="26"/>
      <c r="B5" s="11" t="s">
        <v>10</v>
      </c>
      <c r="C5" s="4">
        <f>INT(IF(AND(((C2*COS(C4*PI()/180))-(E2*COS(E4*PI()/180)))/C3&lt;=1,((C2*COS(C4*PI()/180))-(E2*COS(E4*PI()/180)))/C3&gt;=-1),180*ACOS(((C2*COS(C4*PI()/180))-(E2*COS(E4*PI()/180)))/C3)/PI(),IF(((C2*COS(C4*PI()/180))-(E2*COS(E4*PI()/180)))/C3&lt;-1,179,1)))</f>
        <v>70</v>
      </c>
      <c r="D5" s="6"/>
      <c r="E5" s="4"/>
      <c r="G5" s="6" t="s">
        <v>61</v>
      </c>
      <c r="H5" s="5">
        <v>2.4</v>
      </c>
    </row>
    <row r="6" spans="1:8" ht="15.75" thickBot="1" x14ac:dyDescent="0.3">
      <c r="A6" s="6" t="s">
        <v>12</v>
      </c>
      <c r="B6" s="11" t="s">
        <v>13</v>
      </c>
      <c r="C6" s="7">
        <v>9.9999999999999995E-8</v>
      </c>
      <c r="D6" s="11" t="s">
        <v>14</v>
      </c>
      <c r="E6" s="4">
        <f>C6*H6</f>
        <v>1.3333333333333331E-3</v>
      </c>
      <c r="G6" s="8" t="s">
        <v>44</v>
      </c>
      <c r="H6" s="10">
        <f>(B13/D13)*H2</f>
        <v>13333.333333333332</v>
      </c>
    </row>
    <row r="7" spans="1:8" x14ac:dyDescent="0.25">
      <c r="A7" s="6" t="s">
        <v>15</v>
      </c>
      <c r="B7" s="11" t="s">
        <v>55</v>
      </c>
      <c r="C7" s="4">
        <f>4/3*PI()*C6^3</f>
        <v>4.1887902047863896E-21</v>
      </c>
      <c r="D7" s="6" t="s">
        <v>56</v>
      </c>
      <c r="E7" s="4">
        <f>4/3*PI()*E6^3</f>
        <v>9.9289841891232903E-9</v>
      </c>
    </row>
    <row r="8" spans="1:8" x14ac:dyDescent="0.25">
      <c r="A8" s="6" t="s">
        <v>57</v>
      </c>
      <c r="B8" s="6">
        <v>0.3</v>
      </c>
      <c r="C8" s="4">
        <v>1.3</v>
      </c>
      <c r="D8" s="16">
        <f>ROUND((2*H3*B13+B8)/H6,6)</f>
        <v>1.523E-3</v>
      </c>
      <c r="E8" s="17">
        <f>ROUND((2*H3*B13+C8)/H6,6)</f>
        <v>1.598E-3</v>
      </c>
    </row>
    <row r="9" spans="1:8" ht="15.75" thickBot="1" x14ac:dyDescent="0.3">
      <c r="A9" s="8" t="s">
        <v>63</v>
      </c>
      <c r="B9" s="8">
        <v>2.5000000000000001E-2</v>
      </c>
      <c r="C9" s="10"/>
      <c r="D9" s="21">
        <f>B9/H6</f>
        <v>1.8750000000000003E-6</v>
      </c>
      <c r="E9" s="10"/>
    </row>
    <row r="10" spans="1:8" x14ac:dyDescent="0.25">
      <c r="A10" s="29" t="s">
        <v>65</v>
      </c>
      <c r="B10" s="6"/>
      <c r="C10" s="4"/>
      <c r="D10" s="6"/>
      <c r="E10" s="4"/>
    </row>
    <row r="11" spans="1:8" ht="15.75" thickBot="1" x14ac:dyDescent="0.3">
      <c r="A11" s="30"/>
      <c r="B11" s="6"/>
      <c r="C11" s="4"/>
      <c r="D11" s="6"/>
      <c r="E11" s="4"/>
    </row>
    <row r="12" spans="1:8" ht="15.75" thickBot="1" x14ac:dyDescent="0.3">
      <c r="A12" s="31"/>
      <c r="B12" s="8"/>
      <c r="C12" s="10"/>
      <c r="D12" s="8"/>
      <c r="E12" s="10"/>
      <c r="G12" s="2" t="s">
        <v>70</v>
      </c>
      <c r="H12" s="13">
        <f>C2*B14/C6</f>
        <v>300000000000000</v>
      </c>
    </row>
    <row r="13" spans="1:8" x14ac:dyDescent="0.25">
      <c r="A13" s="6" t="s">
        <v>39</v>
      </c>
      <c r="B13" s="6">
        <v>2</v>
      </c>
      <c r="C13" s="4"/>
      <c r="D13" s="6">
        <v>1.5</v>
      </c>
      <c r="E13" s="4"/>
      <c r="G13" s="6" t="s">
        <v>73</v>
      </c>
      <c r="H13" s="14">
        <f>B13*C6*2</f>
        <v>3.9999999999999998E-7</v>
      </c>
    </row>
    <row r="14" spans="1:8" x14ac:dyDescent="0.25">
      <c r="A14" s="6" t="s">
        <v>71</v>
      </c>
      <c r="B14" s="6">
        <v>1000000</v>
      </c>
      <c r="C14" s="4"/>
      <c r="D14" s="6">
        <v>1000000</v>
      </c>
      <c r="E14" s="4"/>
      <c r="G14" s="6" t="s">
        <v>74</v>
      </c>
      <c r="H14" s="14">
        <f>D13*E6*2</f>
        <v>3.9999999999999992E-3</v>
      </c>
    </row>
    <row r="15" spans="1:8" x14ac:dyDescent="0.25">
      <c r="A15" s="6" t="s">
        <v>40</v>
      </c>
      <c r="B15" s="6">
        <v>1</v>
      </c>
      <c r="C15" s="4"/>
      <c r="D15" s="6">
        <v>1</v>
      </c>
      <c r="E15" s="4"/>
      <c r="G15" s="6" t="s">
        <v>45</v>
      </c>
      <c r="H15" s="14">
        <f>H1*(H14^2)/(H13^2)</f>
        <v>9999999.9999999963</v>
      </c>
    </row>
    <row r="16" spans="1:8" ht="15.75" thickBot="1" x14ac:dyDescent="0.3">
      <c r="A16" s="6" t="s">
        <v>43</v>
      </c>
      <c r="B16" s="6">
        <f>H3*2*B13*C6</f>
        <v>1.9999999999999999E-6</v>
      </c>
      <c r="C16" s="4"/>
      <c r="D16" s="6">
        <f>B16/E6</f>
        <v>1.5000000000000002E-3</v>
      </c>
      <c r="E16" s="4"/>
      <c r="G16" s="19" t="s">
        <v>72</v>
      </c>
      <c r="H16" s="20">
        <f>H13*H3</f>
        <v>1.9999999999999999E-6</v>
      </c>
    </row>
    <row r="17" spans="1:8" x14ac:dyDescent="0.25">
      <c r="A17" s="6" t="s">
        <v>52</v>
      </c>
      <c r="B17" s="6" t="s">
        <v>82</v>
      </c>
      <c r="C17" s="4" t="s">
        <v>53</v>
      </c>
      <c r="D17" s="6" t="s">
        <v>78</v>
      </c>
      <c r="E17" s="4" t="s">
        <v>53</v>
      </c>
      <c r="G17" s="18" t="s">
        <v>66</v>
      </c>
      <c r="H17" s="4"/>
    </row>
    <row r="18" spans="1:8" ht="15.75" thickBot="1" x14ac:dyDescent="0.3">
      <c r="A18" s="8" t="s">
        <v>57</v>
      </c>
      <c r="B18" s="8">
        <f>MIN('Fluid data'!F:F)</f>
        <v>0.3</v>
      </c>
      <c r="C18" s="10">
        <f>MAX('Fluid data'!F:F)</f>
        <v>1.3</v>
      </c>
      <c r="D18" s="8">
        <f>MIN('Bubble data'!F:F)</f>
        <v>0.60899999999999999</v>
      </c>
      <c r="E18" s="10">
        <f>MAX('Bubble data'!F:F)</f>
        <v>0.63900000000000001</v>
      </c>
      <c r="G18" s="6" t="s">
        <v>67</v>
      </c>
      <c r="H18" s="4">
        <f>MIN('Force data'!G:G)</f>
        <v>-1015.2575358413096</v>
      </c>
    </row>
    <row r="19" spans="1:8" x14ac:dyDescent="0.25">
      <c r="G19" s="6" t="s">
        <v>68</v>
      </c>
      <c r="H19" s="4">
        <f>MIN('Force data'!H:H)</f>
        <v>-1692.9312912354922</v>
      </c>
    </row>
    <row r="20" spans="1:8" ht="15.75" thickBot="1" x14ac:dyDescent="0.3">
      <c r="G20" s="8" t="s">
        <v>69</v>
      </c>
      <c r="H20" s="10">
        <f>MIN('Force data'!F:F)</f>
        <v>0</v>
      </c>
    </row>
    <row r="21" spans="1:8" x14ac:dyDescent="0.25">
      <c r="A21" s="2" t="s">
        <v>62</v>
      </c>
      <c r="B21" s="24" t="str">
        <f>"D/d="&amp;H2&amp;" , "&amp;B4&amp;"="&amp;C4&amp;" , "&amp;D4&amp;"="&amp;E4</f>
        <v>D/d=10000 , θ-fa=80 , θ-wa=97</v>
      </c>
      <c r="C21" s="24"/>
      <c r="D21" s="25"/>
    </row>
    <row r="22" spans="1:8" ht="15.75" thickBot="1" x14ac:dyDescent="0.3">
      <c r="A22" s="8" t="s">
        <v>64</v>
      </c>
      <c r="B22" s="15">
        <v>1E-4</v>
      </c>
      <c r="C22" s="9"/>
      <c r="D22" s="10"/>
    </row>
    <row r="25" spans="1:8" x14ac:dyDescent="0.25">
      <c r="D25" s="23"/>
      <c r="G25" s="22"/>
    </row>
    <row r="26" spans="1:8" x14ac:dyDescent="0.25">
      <c r="F26" t="s">
        <v>79</v>
      </c>
      <c r="G26" s="22">
        <f>H18*5*4/1000</f>
        <v>-20.305150716826191</v>
      </c>
      <c r="H26" t="s">
        <v>81</v>
      </c>
    </row>
    <row r="27" spans="1:8" x14ac:dyDescent="0.25">
      <c r="E27" s="23"/>
      <c r="F27" t="s">
        <v>80</v>
      </c>
      <c r="G27">
        <f>H19*5*4/1000</f>
        <v>-33.858625824709847</v>
      </c>
      <c r="H27" t="s">
        <v>81</v>
      </c>
    </row>
  </sheetData>
  <mergeCells count="6">
    <mergeCell ref="B21:D21"/>
    <mergeCell ref="A2:A3"/>
    <mergeCell ref="A4:A5"/>
    <mergeCell ref="B1:C1"/>
    <mergeCell ref="D1:E1"/>
    <mergeCell ref="A10:A12"/>
  </mergeCells>
  <conditionalFormatting sqref="G18:G20">
    <cfRule type="expression" dxfId="2" priority="3">
      <formula>OFFSET(G18,0,1)=MIN($H$18:$H$20)</formula>
    </cfRule>
  </conditionalFormatting>
  <conditionalFormatting sqref="D8">
    <cfRule type="cellIs" dxfId="1" priority="2" operator="notEqual">
      <formula>$D$18</formula>
    </cfRule>
  </conditionalFormatting>
  <conditionalFormatting sqref="E8">
    <cfRule type="cellIs" dxfId="0" priority="1" operator="notEqual">
      <formula>$E$18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Fluid data">
              <controlPr defaultSize="0" print="0" autoFill="0" autoPict="0" macro="[0]!importData">
                <anchor moveWithCells="1" sizeWithCells="1">
                  <from>
                    <xdr:col>1</xdr:col>
                    <xdr:colOff>133350</xdr:colOff>
                    <xdr:row>9</xdr:row>
                    <xdr:rowOff>95250</xdr:rowOff>
                  </from>
                  <to>
                    <xdr:col>2</xdr:col>
                    <xdr:colOff>428625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bble data">
              <controlPr defaultSize="0" print="0" autoFill="0" autoPict="0" macro="[0]!importData">
                <anchor moveWithCells="1" sizeWithCells="1">
                  <from>
                    <xdr:col>3</xdr:col>
                    <xdr:colOff>95250</xdr:colOff>
                    <xdr:row>9</xdr:row>
                    <xdr:rowOff>57150</xdr:rowOff>
                  </from>
                  <to>
                    <xdr:col>4</xdr:col>
                    <xdr:colOff>428625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enerateForce">
                <anchor moveWithCells="1" sizeWithCells="1">
                  <from>
                    <xdr:col>6</xdr:col>
                    <xdr:colOff>523875</xdr:colOff>
                    <xdr:row>7</xdr:row>
                    <xdr:rowOff>161925</xdr:rowOff>
                  </from>
                  <to>
                    <xdr:col>7</xdr:col>
                    <xdr:colOff>142875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DataToTemplate">
                <anchor moveWithCells="1" sizeWithCells="1">
                  <from>
                    <xdr:col>6</xdr:col>
                    <xdr:colOff>495300</xdr:colOff>
                    <xdr:row>21</xdr:row>
                    <xdr:rowOff>19050</xdr:rowOff>
                  </from>
                  <to>
                    <xdr:col>7</xdr:col>
                    <xdr:colOff>171450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2"/>
  <sheetViews>
    <sheetView workbookViewId="0"/>
  </sheetViews>
  <sheetFormatPr defaultRowHeight="15" x14ac:dyDescent="0.25"/>
  <cols>
    <col min="1" max="1" width="6.85546875" bestFit="1" customWidth="1"/>
    <col min="2" max="4" width="13.42578125" customWidth="1"/>
    <col min="5" max="5" width="13.5703125" customWidth="1"/>
    <col min="6" max="6" width="12.7109375" customWidth="1"/>
    <col min="7" max="8" width="13.42578125" customWidth="1"/>
    <col min="9" max="9" width="19.28515625" bestFit="1" customWidth="1"/>
  </cols>
  <sheetData>
    <row r="1" spans="1:11" x14ac:dyDescent="0.25">
      <c r="A1" t="s">
        <v>0</v>
      </c>
      <c r="B1" t="s">
        <v>49</v>
      </c>
      <c r="C1" t="s">
        <v>50</v>
      </c>
      <c r="D1" t="s">
        <v>51</v>
      </c>
      <c r="E1" t="s">
        <v>1</v>
      </c>
      <c r="F1" t="s">
        <v>48</v>
      </c>
      <c r="G1" t="s">
        <v>47</v>
      </c>
      <c r="H1" t="s">
        <v>46</v>
      </c>
      <c r="I1" t="s">
        <v>75</v>
      </c>
      <c r="J1" t="s">
        <v>76</v>
      </c>
      <c r="K1" t="s">
        <v>77</v>
      </c>
    </row>
    <row r="2" spans="1:11" x14ac:dyDescent="0.25">
      <c r="A2">
        <v>0.3</v>
      </c>
      <c r="G2">
        <v>659.44582284816011</v>
      </c>
      <c r="H2">
        <v>468.52878198666559</v>
      </c>
      <c r="K2">
        <v>1.2546193684670088E-6</v>
      </c>
    </row>
    <row r="3" spans="1:11" x14ac:dyDescent="0.25">
      <c r="A3">
        <v>0.32500000000000001</v>
      </c>
      <c r="G3">
        <v>-207.35826908202537</v>
      </c>
      <c r="H3">
        <v>-715.38471360299604</v>
      </c>
      <c r="K3">
        <v>1.2546190197932388E-6</v>
      </c>
    </row>
    <row r="4" spans="1:11" x14ac:dyDescent="0.25">
      <c r="A4">
        <v>0.35</v>
      </c>
      <c r="G4">
        <v>-829.76069028406698</v>
      </c>
      <c r="H4">
        <v>-1508.8340979283489</v>
      </c>
      <c r="K4">
        <v>1.2546175813575588E-6</v>
      </c>
    </row>
    <row r="5" spans="1:11" x14ac:dyDescent="0.25">
      <c r="A5">
        <v>0.375</v>
      </c>
      <c r="G5">
        <v>-1015.2575358413096</v>
      </c>
      <c r="H5">
        <v>-1692.9312912354922</v>
      </c>
      <c r="K5">
        <v>1.2546082120177188E-6</v>
      </c>
    </row>
    <row r="6" spans="1:11" x14ac:dyDescent="0.25">
      <c r="A6">
        <v>0.4</v>
      </c>
      <c r="G6">
        <v>-1001.6615759500538</v>
      </c>
      <c r="H6">
        <v>-1623.9452814295091</v>
      </c>
      <c r="K6">
        <v>1.2546108322867286E-6</v>
      </c>
    </row>
    <row r="7" spans="1:11" x14ac:dyDescent="0.25">
      <c r="A7">
        <v>0.42499999999999999</v>
      </c>
      <c r="G7">
        <v>-928.74969095380175</v>
      </c>
      <c r="H7">
        <v>-1486.0356160433262</v>
      </c>
      <c r="K7">
        <v>1.2546140641992486E-6</v>
      </c>
    </row>
    <row r="8" spans="1:11" x14ac:dyDescent="0.25">
      <c r="A8">
        <v>0.45</v>
      </c>
      <c r="G8">
        <v>-848.35636794178356</v>
      </c>
      <c r="H8">
        <v>-1347.1866603262954</v>
      </c>
      <c r="K8">
        <v>1.2545974955760188E-6</v>
      </c>
    </row>
    <row r="9" spans="1:11" x14ac:dyDescent="0.25">
      <c r="A9">
        <v>0.47499999999999998</v>
      </c>
      <c r="G9">
        <v>-773.46014226709178</v>
      </c>
      <c r="H9">
        <v>-1222.5555956044691</v>
      </c>
      <c r="K9">
        <v>1.2545888143975586E-6</v>
      </c>
    </row>
    <row r="10" spans="1:11" x14ac:dyDescent="0.25">
      <c r="A10">
        <v>0.5</v>
      </c>
      <c r="G10">
        <v>-706.67448807349103</v>
      </c>
      <c r="H10">
        <v>-1115.3472215674758</v>
      </c>
      <c r="K10">
        <v>1.2545948005513287E-6</v>
      </c>
    </row>
    <row r="11" spans="1:11" x14ac:dyDescent="0.25">
      <c r="A11">
        <v>0.52500000000000002</v>
      </c>
      <c r="G11">
        <v>-647.3692577468895</v>
      </c>
      <c r="H11">
        <v>-1020.2606820213248</v>
      </c>
      <c r="K11">
        <v>1.2545768776165088E-6</v>
      </c>
    </row>
    <row r="12" spans="1:11" x14ac:dyDescent="0.25">
      <c r="A12">
        <v>0.55000000000000004</v>
      </c>
      <c r="G12">
        <v>-596.59867936545743</v>
      </c>
      <c r="H12">
        <v>-940.8580142151759</v>
      </c>
      <c r="K12">
        <v>1.2545892878515288E-6</v>
      </c>
    </row>
    <row r="13" spans="1:11" x14ac:dyDescent="0.25">
      <c r="A13">
        <v>0.57499999999999996</v>
      </c>
      <c r="G13">
        <v>-551.32290716741852</v>
      </c>
      <c r="H13">
        <v>-867.92088176146422</v>
      </c>
      <c r="K13">
        <v>1.2545478595500387E-6</v>
      </c>
    </row>
    <row r="14" spans="1:11" x14ac:dyDescent="0.25">
      <c r="A14">
        <v>0.6</v>
      </c>
      <c r="G14">
        <v>-511.50997509630281</v>
      </c>
      <c r="H14">
        <v>-805.52392512522999</v>
      </c>
      <c r="K14">
        <v>1.2545321626715288E-6</v>
      </c>
    </row>
    <row r="15" spans="1:11" x14ac:dyDescent="0.25">
      <c r="A15">
        <v>0.625</v>
      </c>
      <c r="G15">
        <v>-476.09214690602801</v>
      </c>
      <c r="H15">
        <v>-750.04426006053598</v>
      </c>
      <c r="K15">
        <v>1.2545119492211487E-6</v>
      </c>
    </row>
    <row r="16" spans="1:11" x14ac:dyDescent="0.25">
      <c r="A16">
        <v>0.65</v>
      </c>
      <c r="G16">
        <v>-444.56940017312377</v>
      </c>
      <c r="H16">
        <v>-700.75368779143525</v>
      </c>
      <c r="K16">
        <v>1.2544443568998386E-6</v>
      </c>
    </row>
    <row r="17" spans="1:11" x14ac:dyDescent="0.25">
      <c r="A17">
        <v>0.67500000000000004</v>
      </c>
      <c r="G17">
        <v>-416.15239337211585</v>
      </c>
      <c r="H17">
        <v>-656.65160398786986</v>
      </c>
      <c r="K17">
        <v>1.2544470283253186E-6</v>
      </c>
    </row>
    <row r="18" spans="1:11" x14ac:dyDescent="0.25">
      <c r="A18">
        <v>0.7</v>
      </c>
      <c r="G18">
        <v>-390.37080826531712</v>
      </c>
      <c r="H18">
        <v>-616.31748956081447</v>
      </c>
      <c r="K18">
        <v>1.2544353842331488E-6</v>
      </c>
    </row>
    <row r="19" spans="1:11" x14ac:dyDescent="0.25">
      <c r="A19">
        <v>0.72499999999999998</v>
      </c>
      <c r="G19">
        <v>-366.95645663442787</v>
      </c>
      <c r="H19">
        <v>-580.08535279263594</v>
      </c>
      <c r="K19">
        <v>1.2544528928011987E-6</v>
      </c>
    </row>
    <row r="20" spans="1:11" x14ac:dyDescent="0.25">
      <c r="A20">
        <v>0.75</v>
      </c>
      <c r="G20">
        <v>-345.60835049823942</v>
      </c>
      <c r="H20">
        <v>-547.01113458577311</v>
      </c>
      <c r="K20">
        <v>1.2544537462516187E-6</v>
      </c>
    </row>
    <row r="21" spans="1:11" x14ac:dyDescent="0.25">
      <c r="A21">
        <v>0.77500000000000002</v>
      </c>
      <c r="G21">
        <v>-325.92858502766825</v>
      </c>
      <c r="H21">
        <v>-516.42372740801227</v>
      </c>
      <c r="K21">
        <v>1.2544321754011888E-6</v>
      </c>
    </row>
    <row r="22" spans="1:11" x14ac:dyDescent="0.25">
      <c r="A22">
        <v>0.8</v>
      </c>
      <c r="G22">
        <v>-307.63213744400286</v>
      </c>
      <c r="H22">
        <v>-487.99630938312146</v>
      </c>
      <c r="K22">
        <v>1.2544458760504687E-6</v>
      </c>
    </row>
    <row r="23" spans="1:11" x14ac:dyDescent="0.25">
      <c r="A23">
        <v>0.82499999999999996</v>
      </c>
      <c r="G23">
        <v>-290.73667167090031</v>
      </c>
      <c r="H23">
        <v>-462.9683565315911</v>
      </c>
      <c r="K23">
        <v>1.2544690418194388E-6</v>
      </c>
    </row>
    <row r="24" spans="1:11" x14ac:dyDescent="0.25">
      <c r="A24">
        <v>0.85</v>
      </c>
      <c r="G24">
        <v>-275.11515463096862</v>
      </c>
      <c r="H24">
        <v>-439.31559648768928</v>
      </c>
      <c r="K24">
        <v>1.2545154384394387E-6</v>
      </c>
    </row>
    <row r="25" spans="1:11" x14ac:dyDescent="0.25">
      <c r="A25">
        <v>0.875</v>
      </c>
      <c r="G25">
        <v>-260.29813976258345</v>
      </c>
      <c r="H25">
        <v>-416.33269583840723</v>
      </c>
      <c r="K25">
        <v>1.2545412201275187E-6</v>
      </c>
    </row>
    <row r="26" spans="1:11" x14ac:dyDescent="0.25">
      <c r="A26">
        <v>0.9</v>
      </c>
      <c r="G26">
        <v>-246.71340826287732</v>
      </c>
      <c r="H26">
        <v>-395.67321079836398</v>
      </c>
      <c r="K26">
        <v>1.2545663008411388E-6</v>
      </c>
    </row>
    <row r="27" spans="1:11" x14ac:dyDescent="0.25">
      <c r="A27">
        <v>0.92500000000000004</v>
      </c>
      <c r="G27">
        <v>-233.76084500092998</v>
      </c>
      <c r="H27">
        <v>-376.02170894324229</v>
      </c>
      <c r="K27">
        <v>1.2545846739938786E-6</v>
      </c>
    </row>
    <row r="28" spans="1:11" x14ac:dyDescent="0.25">
      <c r="A28">
        <v>0.95</v>
      </c>
      <c r="G28">
        <v>-221.36883246482023</v>
      </c>
      <c r="H28">
        <v>-357.47421371823486</v>
      </c>
      <c r="K28">
        <v>1.2545945850030086E-6</v>
      </c>
    </row>
    <row r="29" spans="1:11" x14ac:dyDescent="0.25">
      <c r="A29">
        <v>0.97499999999999998</v>
      </c>
      <c r="G29">
        <v>-209.56212149592227</v>
      </c>
      <c r="H29">
        <v>-339.61394005288605</v>
      </c>
      <c r="K29">
        <v>1.2546049264842687E-6</v>
      </c>
    </row>
    <row r="30" spans="1:11" x14ac:dyDescent="0.25">
      <c r="A30">
        <v>1</v>
      </c>
      <c r="G30">
        <v>-198.07330263965633</v>
      </c>
      <c r="H30">
        <v>-323.07264219611</v>
      </c>
      <c r="K30">
        <v>1.2546072110031288E-6</v>
      </c>
    </row>
    <row r="31" spans="1:11" x14ac:dyDescent="0.25">
      <c r="A31">
        <v>1.0249999999999999</v>
      </c>
      <c r="G31">
        <v>-187.35105301814821</v>
      </c>
      <c r="H31">
        <v>-306.65995954848432</v>
      </c>
      <c r="K31">
        <v>1.2546079553895788E-6</v>
      </c>
    </row>
    <row r="32" spans="1:11" x14ac:dyDescent="0.25">
      <c r="A32">
        <v>1.05</v>
      </c>
      <c r="G32">
        <v>-176.93715069100381</v>
      </c>
      <c r="H32">
        <v>-313.8564337490393</v>
      </c>
      <c r="K32">
        <v>1.2546091311168088E-6</v>
      </c>
    </row>
    <row r="33" spans="1:11" x14ac:dyDescent="0.25">
      <c r="A33">
        <v>1.075</v>
      </c>
      <c r="G33">
        <v>-166.96983505148958</v>
      </c>
      <c r="H33">
        <v>-277.030635119858</v>
      </c>
      <c r="K33">
        <v>1.2546146400935188E-6</v>
      </c>
    </row>
    <row r="34" spans="1:11" x14ac:dyDescent="0.25">
      <c r="A34">
        <v>1.1000000000000001</v>
      </c>
      <c r="G34">
        <v>-156.3590720099487</v>
      </c>
      <c r="H34">
        <v>-263.12150892771092</v>
      </c>
      <c r="K34">
        <v>1.2546175531575588E-6</v>
      </c>
    </row>
    <row r="35" spans="1:11" x14ac:dyDescent="0.25">
      <c r="A35">
        <v>1.125</v>
      </c>
      <c r="H35">
        <v>-249.76259468090279</v>
      </c>
      <c r="K35">
        <v>1.2546191631102487E-6</v>
      </c>
    </row>
    <row r="36" spans="1:11" x14ac:dyDescent="0.25">
      <c r="A36">
        <v>1.1499999999999999</v>
      </c>
      <c r="H36">
        <v>-234.20789906403218</v>
      </c>
      <c r="K36">
        <v>1.2546193732735589E-6</v>
      </c>
    </row>
    <row r="37" spans="1:11" x14ac:dyDescent="0.25">
      <c r="A37">
        <v>1.175</v>
      </c>
      <c r="K37">
        <v>1.2546193895226887E-6</v>
      </c>
    </row>
    <row r="38" spans="1:11" x14ac:dyDescent="0.25">
      <c r="A38">
        <v>1.2</v>
      </c>
      <c r="K38">
        <v>1.2546193924913088E-6</v>
      </c>
    </row>
    <row r="39" spans="1:11" x14ac:dyDescent="0.25">
      <c r="A39">
        <v>1.2250000000000001</v>
      </c>
      <c r="K39">
        <v>1.2546193937634289E-6</v>
      </c>
    </row>
    <row r="40" spans="1:11" x14ac:dyDescent="0.25">
      <c r="A40">
        <v>1.25</v>
      </c>
      <c r="K40">
        <v>1.2546193945842986E-6</v>
      </c>
    </row>
    <row r="41" spans="1:11" x14ac:dyDescent="0.25">
      <c r="A41">
        <v>1.2749999999999999</v>
      </c>
      <c r="K41">
        <v>1.2546193944128386E-6</v>
      </c>
    </row>
    <row r="42" spans="1:11" x14ac:dyDescent="0.25">
      <c r="A42">
        <v>1.3</v>
      </c>
      <c r="K42">
        <v>1.2546193880703089E-6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29"/>
  <sheetViews>
    <sheetView topLeftCell="H1" workbookViewId="0"/>
  </sheetViews>
  <sheetFormatPr defaultRowHeight="15" x14ac:dyDescent="0.25"/>
  <cols>
    <col min="1" max="1" width="4" customWidth="1"/>
    <col min="2" max="2" width="2" customWidth="1"/>
    <col min="3" max="3" width="8.5703125" customWidth="1"/>
    <col min="4" max="5" width="2" customWidth="1"/>
    <col min="6" max="8" width="6" customWidth="1"/>
    <col min="9" max="9" width="2" customWidth="1"/>
    <col min="10" max="10" width="12.7109375" bestFit="1" customWidth="1"/>
    <col min="11" max="12" width="12.7109375" customWidth="1"/>
    <col min="13" max="14" width="12" bestFit="1" customWidth="1"/>
    <col min="15" max="15" width="12" customWidth="1"/>
    <col min="16" max="16" width="12.7109375" customWidth="1"/>
    <col min="17" max="20" width="12" customWidth="1"/>
    <col min="21" max="21" width="12.7109375" customWidth="1"/>
    <col min="22" max="22" width="12" customWidth="1"/>
    <col min="23" max="23" width="8" customWidth="1"/>
    <col min="24" max="24" width="12.7109375" customWidth="1"/>
    <col min="25" max="25" width="2" customWidth="1"/>
  </cols>
  <sheetData>
    <row r="1" spans="1:25" x14ac:dyDescent="0.25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0</v>
      </c>
      <c r="G1" t="s">
        <v>22</v>
      </c>
      <c r="H1" t="s">
        <v>23</v>
      </c>
      <c r="I1" t="s">
        <v>24</v>
      </c>
      <c r="J1" t="s">
        <v>16</v>
      </c>
      <c r="K1" t="s">
        <v>25</v>
      </c>
      <c r="L1" t="s">
        <v>26</v>
      </c>
      <c r="M1" t="s">
        <v>27</v>
      </c>
      <c r="N1" t="s">
        <v>28</v>
      </c>
      <c r="O1" t="s">
        <v>15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36</v>
      </c>
      <c r="X1" t="s">
        <v>37</v>
      </c>
      <c r="Y1" t="s">
        <v>38</v>
      </c>
    </row>
    <row r="2" spans="1:25" x14ac:dyDescent="0.25">
      <c r="A2">
        <v>67</v>
      </c>
      <c r="B2">
        <v>2</v>
      </c>
      <c r="C2" s="1">
        <v>1000000</v>
      </c>
      <c r="D2">
        <v>1</v>
      </c>
      <c r="E2">
        <v>0</v>
      </c>
      <c r="F2">
        <v>0.3</v>
      </c>
      <c r="G2">
        <v>4.3</v>
      </c>
      <c r="H2">
        <v>0.3</v>
      </c>
      <c r="I2">
        <v>0</v>
      </c>
      <c r="J2">
        <v>8.8620566468838096</v>
      </c>
      <c r="K2">
        <v>8.8802843105216098</v>
      </c>
      <c r="L2">
        <v>11.195775799547199</v>
      </c>
      <c r="M2">
        <v>54.988542450326896</v>
      </c>
      <c r="N2">
        <v>1.1732605864478499E-2</v>
      </c>
      <c r="O2">
        <v>4.18879020478626</v>
      </c>
      <c r="P2">
        <v>4.8220816953177099</v>
      </c>
      <c r="Q2">
        <v>13.3238020174447</v>
      </c>
      <c r="R2">
        <v>12.5613242648586</v>
      </c>
      <c r="S2">
        <v>14.114463550676099</v>
      </c>
      <c r="T2">
        <v>12.5461925120952</v>
      </c>
      <c r="U2">
        <v>3.8520720206234198E-2</v>
      </c>
      <c r="V2">
        <v>2</v>
      </c>
      <c r="W2">
        <v>2.1398999999999999</v>
      </c>
      <c r="X2">
        <v>28.975830325521098</v>
      </c>
      <c r="Y2">
        <v>1</v>
      </c>
    </row>
    <row r="3" spans="1:25" x14ac:dyDescent="0.25">
      <c r="A3">
        <v>67</v>
      </c>
      <c r="B3">
        <v>2</v>
      </c>
      <c r="C3" s="1">
        <v>1000000</v>
      </c>
      <c r="D3">
        <v>1</v>
      </c>
      <c r="E3">
        <v>0</v>
      </c>
      <c r="F3">
        <v>0.32500000000000001</v>
      </c>
      <c r="G3">
        <v>4.3250000000000002</v>
      </c>
      <c r="H3">
        <v>0.32500000000000001</v>
      </c>
      <c r="I3">
        <v>0</v>
      </c>
      <c r="J3">
        <v>4.2234900863252598</v>
      </c>
      <c r="K3">
        <v>4.2252223938163196</v>
      </c>
      <c r="L3">
        <v>10.149163639340401</v>
      </c>
      <c r="M3">
        <v>54.517003852219901</v>
      </c>
      <c r="N3">
        <v>0.18668314028337199</v>
      </c>
      <c r="O3">
        <v>4.1887902049408101</v>
      </c>
      <c r="P3">
        <v>3.0179644046515102</v>
      </c>
      <c r="Q3">
        <v>12.6096977155412</v>
      </c>
      <c r="R3">
        <v>12.5613243807933</v>
      </c>
      <c r="S3">
        <v>12.6426750273493</v>
      </c>
      <c r="T3">
        <v>12.546192975272699</v>
      </c>
      <c r="U3">
        <v>5.3001663722855502E-2</v>
      </c>
      <c r="V3">
        <v>2</v>
      </c>
      <c r="W3">
        <v>2.0392000000000001</v>
      </c>
      <c r="X3">
        <v>67.411845505787696</v>
      </c>
      <c r="Y3">
        <v>1</v>
      </c>
    </row>
    <row r="4" spans="1:25" x14ac:dyDescent="0.25">
      <c r="A4">
        <v>67</v>
      </c>
      <c r="B4">
        <v>2</v>
      </c>
      <c r="C4" s="1">
        <v>1000000</v>
      </c>
      <c r="D4">
        <v>1</v>
      </c>
      <c r="E4">
        <v>0</v>
      </c>
      <c r="F4">
        <v>0.35</v>
      </c>
      <c r="G4">
        <v>4.3499999999999996</v>
      </c>
      <c r="H4">
        <v>0.35</v>
      </c>
      <c r="I4">
        <v>0</v>
      </c>
      <c r="J4">
        <v>0.156503195935497</v>
      </c>
      <c r="K4">
        <v>0.15698452857692199</v>
      </c>
      <c r="L4">
        <v>9.8337011130873897</v>
      </c>
      <c r="M4">
        <v>54.749660878930499</v>
      </c>
      <c r="N4">
        <v>6.7206052933991303E-2</v>
      </c>
      <c r="O4">
        <v>4.1887902048607</v>
      </c>
      <c r="P4">
        <v>1.0614594398900601</v>
      </c>
      <c r="Q4">
        <v>11.8894511845835</v>
      </c>
      <c r="R4">
        <v>12.5613240352157</v>
      </c>
      <c r="S4">
        <v>11.239864619735</v>
      </c>
      <c r="T4">
        <v>12.5461915946315</v>
      </c>
      <c r="U4">
        <v>5.8586890986061901E-2</v>
      </c>
      <c r="V4">
        <v>1.8925550872560899</v>
      </c>
      <c r="W4">
        <v>2</v>
      </c>
      <c r="X4">
        <v>101.66516441559099</v>
      </c>
      <c r="Y4">
        <v>1</v>
      </c>
    </row>
    <row r="5" spans="1:25" x14ac:dyDescent="0.25">
      <c r="A5">
        <v>67</v>
      </c>
      <c r="B5">
        <v>2</v>
      </c>
      <c r="C5" s="1">
        <v>1000000</v>
      </c>
      <c r="D5">
        <v>1</v>
      </c>
      <c r="E5">
        <v>0</v>
      </c>
      <c r="F5">
        <v>0.375</v>
      </c>
      <c r="G5">
        <v>4.375</v>
      </c>
      <c r="H5">
        <v>0.375</v>
      </c>
      <c r="I5">
        <v>0</v>
      </c>
      <c r="J5">
        <v>-1.69343186897627</v>
      </c>
      <c r="K5">
        <v>-1.6935018360890699</v>
      </c>
      <c r="L5">
        <v>9.9791060064192205</v>
      </c>
      <c r="M5">
        <v>55.362669717991302</v>
      </c>
      <c r="N5">
        <v>0.16723923711036501</v>
      </c>
      <c r="O5">
        <v>4.1887902047993899</v>
      </c>
      <c r="P5">
        <v>-2.9407480915274498E-2</v>
      </c>
      <c r="Q5">
        <v>11.2386623712825</v>
      </c>
      <c r="R5">
        <v>12.5613236789314</v>
      </c>
      <c r="S5">
        <v>10.0431110018749</v>
      </c>
      <c r="T5">
        <v>12.546190171207201</v>
      </c>
      <c r="U5">
        <v>7.1252644219109706E-2</v>
      </c>
      <c r="V5">
        <v>1.78879855903545</v>
      </c>
      <c r="W5">
        <v>2</v>
      </c>
      <c r="X5">
        <v>124.423920077597</v>
      </c>
      <c r="Y5">
        <v>1</v>
      </c>
    </row>
    <row r="6" spans="1:25" x14ac:dyDescent="0.25">
      <c r="A6">
        <v>67</v>
      </c>
      <c r="B6">
        <v>2</v>
      </c>
      <c r="C6" s="1">
        <v>1000000</v>
      </c>
      <c r="D6">
        <v>1</v>
      </c>
      <c r="E6">
        <v>0</v>
      </c>
      <c r="F6">
        <v>0.4</v>
      </c>
      <c r="G6">
        <v>4.4000000000000004</v>
      </c>
      <c r="H6">
        <v>0.4</v>
      </c>
      <c r="I6">
        <v>0</v>
      </c>
      <c r="J6">
        <v>-2.2719298324956001</v>
      </c>
      <c r="K6">
        <v>-2.2709704287863199</v>
      </c>
      <c r="L6">
        <v>10.300490264175201</v>
      </c>
      <c r="M6">
        <v>56.071257185991101</v>
      </c>
      <c r="N6">
        <v>0.129921905059182</v>
      </c>
      <c r="O6">
        <v>4.1887902047694601</v>
      </c>
      <c r="P6">
        <v>-0.49129074152978702</v>
      </c>
      <c r="Q6">
        <v>10.669917957277899</v>
      </c>
      <c r="R6">
        <v>12.561321057949799</v>
      </c>
      <c r="S6">
        <v>9.0521078246418494</v>
      </c>
      <c r="T6">
        <v>12.546179699898101</v>
      </c>
      <c r="U6">
        <v>7.5405772620744799E-2</v>
      </c>
      <c r="V6">
        <v>1.6975029249743201</v>
      </c>
      <c r="W6">
        <v>2</v>
      </c>
      <c r="X6">
        <v>138.369699487768</v>
      </c>
      <c r="Y6">
        <v>1</v>
      </c>
    </row>
    <row r="7" spans="1:25" x14ac:dyDescent="0.25">
      <c r="A7">
        <v>67</v>
      </c>
      <c r="B7">
        <v>2</v>
      </c>
      <c r="C7" s="1">
        <v>1000000</v>
      </c>
      <c r="D7">
        <v>1</v>
      </c>
      <c r="E7">
        <v>0</v>
      </c>
      <c r="F7">
        <v>0.42499999999999999</v>
      </c>
      <c r="G7">
        <v>4.4249999999999998</v>
      </c>
      <c r="H7">
        <v>0.42499999999999999</v>
      </c>
      <c r="I7">
        <v>0</v>
      </c>
      <c r="J7">
        <v>-2.3579668727160001</v>
      </c>
      <c r="K7">
        <v>-2.3576958583576402</v>
      </c>
      <c r="L7">
        <v>10.6679179114394</v>
      </c>
      <c r="M7">
        <v>56.763541304315297</v>
      </c>
      <c r="N7">
        <v>3.9925408440908097E-2</v>
      </c>
      <c r="O7">
        <v>4.1887902047330199</v>
      </c>
      <c r="P7">
        <v>-0.66349482459856102</v>
      </c>
      <c r="Q7">
        <v>10.167942877061099</v>
      </c>
      <c r="R7">
        <v>12.561293672011701</v>
      </c>
      <c r="S7">
        <v>8.2204095734566494</v>
      </c>
      <c r="T7">
        <v>12.546070286811499</v>
      </c>
      <c r="U7">
        <v>8.6544313251457297E-2</v>
      </c>
      <c r="V7">
        <v>1.61755873026866</v>
      </c>
      <c r="W7">
        <v>2</v>
      </c>
      <c r="X7">
        <v>147.20089552022301</v>
      </c>
      <c r="Y7">
        <v>1</v>
      </c>
    </row>
    <row r="8" spans="1:25" x14ac:dyDescent="0.25">
      <c r="A8">
        <v>67</v>
      </c>
      <c r="B8">
        <v>2</v>
      </c>
      <c r="C8" s="1">
        <v>1000000</v>
      </c>
      <c r="D8">
        <v>1</v>
      </c>
      <c r="E8">
        <v>0</v>
      </c>
      <c r="F8">
        <v>0.45</v>
      </c>
      <c r="G8">
        <v>4.45</v>
      </c>
      <c r="H8">
        <v>0.45</v>
      </c>
      <c r="I8">
        <v>0</v>
      </c>
      <c r="J8">
        <v>-2.27753333952908</v>
      </c>
      <c r="K8">
        <v>-2.2780296162856999</v>
      </c>
      <c r="L8">
        <v>11.0335676372768</v>
      </c>
      <c r="M8">
        <v>57.407797720113798</v>
      </c>
      <c r="N8">
        <v>0.11771582847955001</v>
      </c>
      <c r="O8">
        <v>4.1887902047699797</v>
      </c>
      <c r="P8">
        <v>-0.71515316165483001</v>
      </c>
      <c r="Q8">
        <v>9.7168641791208508</v>
      </c>
      <c r="R8">
        <v>12.5612866778562</v>
      </c>
      <c r="S8">
        <v>7.5072891584847001</v>
      </c>
      <c r="T8">
        <v>12.546042343620201</v>
      </c>
      <c r="U8">
        <v>9.4848432119019693E-2</v>
      </c>
      <c r="V8">
        <v>1.54636374311679</v>
      </c>
      <c r="W8">
        <v>2</v>
      </c>
      <c r="X8">
        <v>152.93482410824899</v>
      </c>
      <c r="Y8">
        <v>1</v>
      </c>
    </row>
    <row r="9" spans="1:25" x14ac:dyDescent="0.25">
      <c r="A9">
        <v>67</v>
      </c>
      <c r="B9">
        <v>2</v>
      </c>
      <c r="C9" s="1">
        <v>1000000</v>
      </c>
      <c r="D9">
        <v>1</v>
      </c>
      <c r="E9">
        <v>0</v>
      </c>
      <c r="F9">
        <v>0.47499999999999998</v>
      </c>
      <c r="G9">
        <v>4.4749999999999996</v>
      </c>
      <c r="H9">
        <v>0.47499999999999998</v>
      </c>
      <c r="I9">
        <v>0</v>
      </c>
      <c r="J9">
        <v>-2.1431205555188999</v>
      </c>
      <c r="K9">
        <v>-2.1423575376983299</v>
      </c>
      <c r="L9">
        <v>11.3813060916992</v>
      </c>
      <c r="M9">
        <v>57.998778374939803</v>
      </c>
      <c r="N9">
        <v>6.5551745482523405E-2</v>
      </c>
      <c r="O9">
        <v>4.1887902047805001</v>
      </c>
      <c r="P9">
        <v>-0.71103074975800795</v>
      </c>
      <c r="Q9">
        <v>9.3053062440162702</v>
      </c>
      <c r="R9">
        <v>12.561284146238901</v>
      </c>
      <c r="S9">
        <v>6.8847231217206</v>
      </c>
      <c r="T9">
        <v>12.546032229186601</v>
      </c>
      <c r="U9">
        <v>0.102683263801647</v>
      </c>
      <c r="V9">
        <v>1.48022161725331</v>
      </c>
      <c r="W9">
        <v>2</v>
      </c>
      <c r="X9">
        <v>156.80509011158901</v>
      </c>
      <c r="Y9">
        <v>1</v>
      </c>
    </row>
    <row r="10" spans="1:25" x14ac:dyDescent="0.25">
      <c r="A10">
        <v>67</v>
      </c>
      <c r="B10">
        <v>2</v>
      </c>
      <c r="C10" s="1">
        <v>1000000</v>
      </c>
      <c r="D10">
        <v>1</v>
      </c>
      <c r="E10">
        <v>0</v>
      </c>
      <c r="F10">
        <v>0.5</v>
      </c>
      <c r="G10">
        <v>4.5</v>
      </c>
      <c r="H10">
        <v>0.5</v>
      </c>
      <c r="I10">
        <v>0</v>
      </c>
      <c r="J10">
        <v>-1.99464005941191</v>
      </c>
      <c r="K10">
        <v>-1.9942591108716199</v>
      </c>
      <c r="L10">
        <v>11.7062777664322</v>
      </c>
      <c r="M10">
        <v>58.539799286801902</v>
      </c>
      <c r="N10">
        <v>0.104469571934365</v>
      </c>
      <c r="O10">
        <v>4.1887902037787397</v>
      </c>
      <c r="P10">
        <v>-0.68157699699028895</v>
      </c>
      <c r="Q10">
        <v>8.9241298917847907</v>
      </c>
      <c r="R10">
        <v>12.561283457204199</v>
      </c>
      <c r="S10">
        <v>6.3317786324458298</v>
      </c>
      <c r="T10">
        <v>12.5460294768408</v>
      </c>
      <c r="U10">
        <v>0.10803734379048401</v>
      </c>
      <c r="V10">
        <v>1.4174722366869399</v>
      </c>
      <c r="W10">
        <v>2</v>
      </c>
      <c r="X10">
        <v>159.463004694706</v>
      </c>
      <c r="Y10">
        <v>1</v>
      </c>
    </row>
    <row r="11" spans="1:25" x14ac:dyDescent="0.25">
      <c r="A11">
        <v>67</v>
      </c>
      <c r="B11">
        <v>2</v>
      </c>
      <c r="C11" s="1">
        <v>1000000</v>
      </c>
      <c r="D11">
        <v>1</v>
      </c>
      <c r="E11">
        <v>0</v>
      </c>
      <c r="F11">
        <v>0.52500000000000002</v>
      </c>
      <c r="G11">
        <v>4.5250000000000004</v>
      </c>
      <c r="H11">
        <v>0.52500000000000002</v>
      </c>
      <c r="I11">
        <v>0</v>
      </c>
      <c r="J11">
        <v>-1.8486709928925</v>
      </c>
      <c r="K11">
        <v>-1.8464829853065601</v>
      </c>
      <c r="L11">
        <v>12.007932727215501</v>
      </c>
      <c r="M11">
        <v>59.037879444858497</v>
      </c>
      <c r="N11">
        <v>0.21378620295929401</v>
      </c>
      <c r="O11">
        <v>4.1887902035408899</v>
      </c>
      <c r="P11">
        <v>-0.638188030500909</v>
      </c>
      <c r="Q11">
        <v>8.5625375749021995</v>
      </c>
      <c r="R11">
        <v>12.561267216509</v>
      </c>
      <c r="S11">
        <v>5.8289049463198799</v>
      </c>
      <c r="T11">
        <v>12.5459645917364</v>
      </c>
      <c r="U11">
        <v>0.115668868476036</v>
      </c>
      <c r="V11">
        <v>1.3612943482467199</v>
      </c>
      <c r="W11">
        <v>2</v>
      </c>
      <c r="X11">
        <v>161.290794398413</v>
      </c>
      <c r="Y11">
        <v>1</v>
      </c>
    </row>
    <row r="12" spans="1:25" x14ac:dyDescent="0.25">
      <c r="A12">
        <v>67</v>
      </c>
      <c r="B12">
        <v>2</v>
      </c>
      <c r="C12" s="1">
        <v>1000000</v>
      </c>
      <c r="D12">
        <v>1</v>
      </c>
      <c r="E12">
        <v>0</v>
      </c>
      <c r="F12">
        <v>0.55000000000000004</v>
      </c>
      <c r="G12">
        <v>4.55</v>
      </c>
      <c r="H12">
        <v>0.55000000000000004</v>
      </c>
      <c r="I12">
        <v>0</v>
      </c>
      <c r="J12">
        <v>-1.7134921717218601</v>
      </c>
      <c r="K12">
        <v>-1.7115007560520801</v>
      </c>
      <c r="L12">
        <v>12.2875108231621</v>
      </c>
      <c r="M12">
        <v>59.493647713927302</v>
      </c>
      <c r="N12">
        <v>0.203970941072045</v>
      </c>
      <c r="O12">
        <v>4.1887902020273797</v>
      </c>
      <c r="P12">
        <v>-0.591878436000979</v>
      </c>
      <c r="Q12">
        <v>8.2242970746867705</v>
      </c>
      <c r="R12">
        <v>12.5612784237276</v>
      </c>
      <c r="S12">
        <v>5.3780824516540697</v>
      </c>
      <c r="T12">
        <v>12.5460093671655</v>
      </c>
      <c r="U12">
        <v>0.12849742551186699</v>
      </c>
      <c r="V12">
        <v>1.30847134293215</v>
      </c>
      <c r="W12">
        <v>2</v>
      </c>
      <c r="X12">
        <v>162.60701514036899</v>
      </c>
      <c r="Y12">
        <v>1</v>
      </c>
    </row>
    <row r="13" spans="1:25" x14ac:dyDescent="0.25">
      <c r="A13">
        <v>67</v>
      </c>
      <c r="B13">
        <v>2</v>
      </c>
      <c r="C13" s="1">
        <v>1000000</v>
      </c>
      <c r="D13">
        <v>1</v>
      </c>
      <c r="E13">
        <v>0</v>
      </c>
      <c r="F13">
        <v>0.57499999999999996</v>
      </c>
      <c r="G13">
        <v>4.5750000000000002</v>
      </c>
      <c r="H13">
        <v>0.57499999999999996</v>
      </c>
      <c r="I13">
        <v>0</v>
      </c>
      <c r="J13">
        <v>-1.58903576668408</v>
      </c>
      <c r="K13">
        <v>-1.5874920089734399</v>
      </c>
      <c r="L13">
        <v>12.546762173588499</v>
      </c>
      <c r="M13">
        <v>59.9144298221483</v>
      </c>
      <c r="N13">
        <v>0.22477818437156399</v>
      </c>
      <c r="O13">
        <v>4.1887902030178701</v>
      </c>
      <c r="P13">
        <v>-0.54404808585995401</v>
      </c>
      <c r="Q13">
        <v>7.90173548503547</v>
      </c>
      <c r="R13">
        <v>12.5612620230714</v>
      </c>
      <c r="S13">
        <v>4.9644887493817098</v>
      </c>
      <c r="T13">
        <v>12.5459438436888</v>
      </c>
      <c r="U13">
        <v>0.135398968050776</v>
      </c>
      <c r="V13">
        <v>1.25728075741449</v>
      </c>
      <c r="W13">
        <v>2</v>
      </c>
      <c r="X13">
        <v>163.49100035092999</v>
      </c>
      <c r="Y13">
        <v>1</v>
      </c>
    </row>
    <row r="14" spans="1:25" x14ac:dyDescent="0.25">
      <c r="A14">
        <v>67</v>
      </c>
      <c r="B14">
        <v>2</v>
      </c>
      <c r="C14" s="1">
        <v>1000000</v>
      </c>
      <c r="D14">
        <v>1</v>
      </c>
      <c r="E14">
        <v>0</v>
      </c>
      <c r="F14">
        <v>0.6</v>
      </c>
      <c r="G14">
        <v>4.5999999999999996</v>
      </c>
      <c r="H14">
        <v>0.6</v>
      </c>
      <c r="I14">
        <v>0</v>
      </c>
      <c r="J14">
        <v>-1.4758057091036301</v>
      </c>
      <c r="K14">
        <v>-1.47505220726701</v>
      </c>
      <c r="L14">
        <v>12.787466586782401</v>
      </c>
      <c r="M14">
        <v>60.303053734415798</v>
      </c>
      <c r="N14">
        <v>0.32021249512520999</v>
      </c>
      <c r="O14">
        <v>4.1887902045191998</v>
      </c>
      <c r="P14">
        <v>-0.49658431873534897</v>
      </c>
      <c r="Q14">
        <v>7.5944678579619902</v>
      </c>
      <c r="R14">
        <v>12.561260531078799</v>
      </c>
      <c r="S14">
        <v>4.5858915544893897</v>
      </c>
      <c r="T14">
        <v>12.545937883963401</v>
      </c>
      <c r="U14">
        <v>0.13839613872379</v>
      </c>
      <c r="V14">
        <v>1.2072800371607499</v>
      </c>
      <c r="W14">
        <v>2</v>
      </c>
      <c r="X14">
        <v>164.06904047154501</v>
      </c>
      <c r="Y14">
        <v>1</v>
      </c>
    </row>
    <row r="15" spans="1:25" x14ac:dyDescent="0.25">
      <c r="A15">
        <v>67</v>
      </c>
      <c r="B15">
        <v>2</v>
      </c>
      <c r="C15" s="1">
        <v>1000000</v>
      </c>
      <c r="D15">
        <v>1</v>
      </c>
      <c r="E15">
        <v>0</v>
      </c>
      <c r="F15">
        <v>0.625</v>
      </c>
      <c r="G15">
        <v>4.625</v>
      </c>
      <c r="H15">
        <v>0.625</v>
      </c>
      <c r="I15">
        <v>0</v>
      </c>
      <c r="J15">
        <v>-1.3730874336552801</v>
      </c>
      <c r="K15">
        <v>-1.3712012884790901</v>
      </c>
      <c r="L15">
        <v>13.010967002965399</v>
      </c>
      <c r="M15">
        <v>60.665102138621499</v>
      </c>
      <c r="N15">
        <v>0.231164665297727</v>
      </c>
      <c r="O15">
        <v>4.1887902044980203</v>
      </c>
      <c r="P15">
        <v>-0.44910831343069402</v>
      </c>
      <c r="Q15">
        <v>7.2950615684824998</v>
      </c>
      <c r="R15">
        <v>12.5612738108209</v>
      </c>
      <c r="S15">
        <v>4.2314340485445099</v>
      </c>
      <c r="T15">
        <v>12.545990936251901</v>
      </c>
      <c r="U15">
        <v>0.14698267703357701</v>
      </c>
      <c r="V15">
        <v>1.1601792470949099</v>
      </c>
      <c r="W15">
        <v>2</v>
      </c>
      <c r="X15">
        <v>164.396150523513</v>
      </c>
      <c r="Y15">
        <v>1</v>
      </c>
    </row>
    <row r="16" spans="1:25" x14ac:dyDescent="0.25">
      <c r="A16">
        <v>67</v>
      </c>
      <c r="B16">
        <v>2</v>
      </c>
      <c r="C16" s="1">
        <v>1000000</v>
      </c>
      <c r="D16">
        <v>1</v>
      </c>
      <c r="E16">
        <v>0</v>
      </c>
      <c r="F16">
        <v>0.65</v>
      </c>
      <c r="G16">
        <v>4.6500000000000004</v>
      </c>
      <c r="H16">
        <v>0.65</v>
      </c>
      <c r="I16">
        <v>0</v>
      </c>
      <c r="J16">
        <v>-1.27887205634358</v>
      </c>
      <c r="K16">
        <v>-1.27729547664419</v>
      </c>
      <c r="L16">
        <v>13.219139113195601</v>
      </c>
      <c r="M16">
        <v>61.000867928448699</v>
      </c>
      <c r="N16">
        <v>0.319667062182871</v>
      </c>
      <c r="O16">
        <v>4.1887902044455103</v>
      </c>
      <c r="P16">
        <v>-0.40324474241587099</v>
      </c>
      <c r="Q16">
        <v>7.0079478764839402</v>
      </c>
      <c r="R16">
        <v>12.5612771820844</v>
      </c>
      <c r="S16">
        <v>3.9049092848645799</v>
      </c>
      <c r="T16">
        <v>12.546004405544</v>
      </c>
      <c r="U16">
        <v>0.149775824461511</v>
      </c>
      <c r="V16">
        <v>1.11426809113254</v>
      </c>
      <c r="W16">
        <v>2</v>
      </c>
      <c r="X16">
        <v>164.55736912498699</v>
      </c>
      <c r="Y16">
        <v>1</v>
      </c>
    </row>
    <row r="17" spans="1:25" x14ac:dyDescent="0.25">
      <c r="A17">
        <v>67</v>
      </c>
      <c r="B17">
        <v>2</v>
      </c>
      <c r="C17" s="1">
        <v>1000000</v>
      </c>
      <c r="D17">
        <v>1</v>
      </c>
      <c r="E17">
        <v>0</v>
      </c>
      <c r="F17">
        <v>0.67500000000000004</v>
      </c>
      <c r="G17">
        <v>4.6749999999999998</v>
      </c>
      <c r="H17">
        <v>0.67500000000000004</v>
      </c>
      <c r="I17">
        <v>0</v>
      </c>
      <c r="J17">
        <v>-1.19181035703564</v>
      </c>
      <c r="K17">
        <v>-1.19088576962605</v>
      </c>
      <c r="L17">
        <v>13.4130898243074</v>
      </c>
      <c r="M17">
        <v>61.314498922258501</v>
      </c>
      <c r="N17">
        <v>0.25605325719031102</v>
      </c>
      <c r="O17">
        <v>4.1887902042975202</v>
      </c>
      <c r="P17">
        <v>-0.35843994479253499</v>
      </c>
      <c r="Q17">
        <v>6.7274734689324696</v>
      </c>
      <c r="R17">
        <v>12.561277925822001</v>
      </c>
      <c r="S17">
        <v>3.5986055944892099</v>
      </c>
      <c r="T17">
        <v>12.5460073774161</v>
      </c>
      <c r="U17">
        <v>0.15415677231813901</v>
      </c>
      <c r="V17">
        <v>1.0700402023471101</v>
      </c>
      <c r="W17">
        <v>2</v>
      </c>
      <c r="X17">
        <v>164.53435977328201</v>
      </c>
      <c r="Y17">
        <v>1</v>
      </c>
    </row>
    <row r="18" spans="1:25" x14ac:dyDescent="0.25">
      <c r="A18">
        <v>67</v>
      </c>
      <c r="B18">
        <v>2</v>
      </c>
      <c r="C18" s="1">
        <v>1000000</v>
      </c>
      <c r="D18">
        <v>1</v>
      </c>
      <c r="E18">
        <v>0</v>
      </c>
      <c r="F18">
        <v>0.7</v>
      </c>
      <c r="G18">
        <v>4.7</v>
      </c>
      <c r="H18">
        <v>0.7</v>
      </c>
      <c r="I18">
        <v>0</v>
      </c>
      <c r="J18">
        <v>-1.11172244638582</v>
      </c>
      <c r="K18">
        <v>-1.1107849023896299</v>
      </c>
      <c r="L18">
        <v>13.5939610068968</v>
      </c>
      <c r="M18">
        <v>61.608752045950197</v>
      </c>
      <c r="N18">
        <v>0.32383577194589402</v>
      </c>
      <c r="O18">
        <v>4.1887902045802097</v>
      </c>
      <c r="P18">
        <v>-0.31476637387105499</v>
      </c>
      <c r="Q18">
        <v>6.4506374331180902</v>
      </c>
      <c r="R18">
        <v>12.561291631341399</v>
      </c>
      <c r="S18">
        <v>3.3085627930219501</v>
      </c>
      <c r="T18">
        <v>12.5460621342317</v>
      </c>
      <c r="U18">
        <v>0.154364498627277</v>
      </c>
      <c r="V18">
        <v>1.02589545304217</v>
      </c>
      <c r="W18">
        <v>2</v>
      </c>
      <c r="X18">
        <v>164.420191921834</v>
      </c>
      <c r="Y18">
        <v>1</v>
      </c>
    </row>
    <row r="19" spans="1:25" x14ac:dyDescent="0.25">
      <c r="A19">
        <v>67</v>
      </c>
      <c r="B19">
        <v>2</v>
      </c>
      <c r="C19" s="1">
        <v>1000000</v>
      </c>
      <c r="D19">
        <v>1</v>
      </c>
      <c r="E19">
        <v>0</v>
      </c>
      <c r="F19">
        <v>0.72499999999999998</v>
      </c>
      <c r="G19">
        <v>4.7249999999999996</v>
      </c>
      <c r="H19">
        <v>0.72499999999999998</v>
      </c>
      <c r="I19">
        <v>0</v>
      </c>
      <c r="J19">
        <v>-1.0378788757693</v>
      </c>
      <c r="K19">
        <v>-1.0366754227410599</v>
      </c>
      <c r="L19">
        <v>13.762751278455699</v>
      </c>
      <c r="M19">
        <v>61.884210884707599</v>
      </c>
      <c r="N19">
        <v>0.352265479061176</v>
      </c>
      <c r="O19">
        <v>4.1887902037817701</v>
      </c>
      <c r="P19">
        <v>-0.27212208237080998</v>
      </c>
      <c r="Q19">
        <v>6.17876565811064</v>
      </c>
      <c r="R19">
        <v>12.5612912449434</v>
      </c>
      <c r="S19">
        <v>3.0355493411193302</v>
      </c>
      <c r="T19">
        <v>12.5460605909044</v>
      </c>
      <c r="U19">
        <v>0.15977170967791099</v>
      </c>
      <c r="V19">
        <v>0.98266693475413602</v>
      </c>
      <c r="W19">
        <v>2</v>
      </c>
      <c r="X19">
        <v>164.14140584653001</v>
      </c>
      <c r="Y19">
        <v>1</v>
      </c>
    </row>
    <row r="20" spans="1:25" x14ac:dyDescent="0.25">
      <c r="A20">
        <v>67</v>
      </c>
      <c r="B20">
        <v>2</v>
      </c>
      <c r="C20" s="1">
        <v>1000000</v>
      </c>
      <c r="D20">
        <v>1</v>
      </c>
      <c r="E20">
        <v>0</v>
      </c>
      <c r="F20">
        <v>0.75</v>
      </c>
      <c r="G20">
        <v>4.75</v>
      </c>
      <c r="H20">
        <v>0.75</v>
      </c>
      <c r="I20">
        <v>0</v>
      </c>
      <c r="J20">
        <v>-0.96894201612527897</v>
      </c>
      <c r="K20">
        <v>-0.96775242671524597</v>
      </c>
      <c r="L20">
        <v>13.9203079326098</v>
      </c>
      <c r="M20">
        <v>62.142627098581201</v>
      </c>
      <c r="N20">
        <v>0.40062689856948103</v>
      </c>
      <c r="O20">
        <v>4.1887902046427099</v>
      </c>
      <c r="P20">
        <v>-0.23047695331541099</v>
      </c>
      <c r="Q20">
        <v>5.9102650299137203</v>
      </c>
      <c r="R20">
        <v>12.5612957561728</v>
      </c>
      <c r="S20">
        <v>2.7774585445112501</v>
      </c>
      <c r="T20">
        <v>12.5460786144116</v>
      </c>
      <c r="U20">
        <v>0.163363755211414</v>
      </c>
      <c r="V20">
        <v>0.93980473536415599</v>
      </c>
      <c r="W20">
        <v>2</v>
      </c>
      <c r="X20">
        <v>163.801296211211</v>
      </c>
      <c r="Y20">
        <v>1</v>
      </c>
    </row>
    <row r="21" spans="1:25" x14ac:dyDescent="0.25">
      <c r="A21">
        <v>67</v>
      </c>
      <c r="B21">
        <v>2</v>
      </c>
      <c r="C21" s="1">
        <v>1000000</v>
      </c>
      <c r="D21">
        <v>1</v>
      </c>
      <c r="E21">
        <v>0</v>
      </c>
      <c r="F21">
        <v>0.77500000000000002</v>
      </c>
      <c r="G21">
        <v>4.7750000000000004</v>
      </c>
      <c r="H21">
        <v>0.77500000000000002</v>
      </c>
      <c r="I21">
        <v>0</v>
      </c>
      <c r="J21">
        <v>-0.90436731055095598</v>
      </c>
      <c r="K21">
        <v>-0.90313578702223696</v>
      </c>
      <c r="L21">
        <v>14.0673699615182</v>
      </c>
      <c r="M21">
        <v>62.385544524368399</v>
      </c>
      <c r="N21">
        <v>0.42595482048843297</v>
      </c>
      <c r="O21">
        <v>4.1887902044909797</v>
      </c>
      <c r="P21">
        <v>-0.189520981723936</v>
      </c>
      <c r="Q21">
        <v>5.64327956650778</v>
      </c>
      <c r="R21">
        <v>12.561301470863301</v>
      </c>
      <c r="S21">
        <v>2.5321907510264001</v>
      </c>
      <c r="T21">
        <v>12.546101445863799</v>
      </c>
      <c r="U21">
        <v>0.16505859554048399</v>
      </c>
      <c r="V21">
        <v>0.89720356243954802</v>
      </c>
      <c r="W21">
        <v>2</v>
      </c>
      <c r="X21">
        <v>163.372657998519</v>
      </c>
      <c r="Y21">
        <v>1</v>
      </c>
    </row>
    <row r="22" spans="1:25" x14ac:dyDescent="0.25">
      <c r="A22">
        <v>67</v>
      </c>
      <c r="B22">
        <v>2</v>
      </c>
      <c r="C22" s="1">
        <v>1000000</v>
      </c>
      <c r="D22">
        <v>1</v>
      </c>
      <c r="E22">
        <v>0</v>
      </c>
      <c r="F22">
        <v>0.8</v>
      </c>
      <c r="G22">
        <v>4.8</v>
      </c>
      <c r="H22">
        <v>0.8</v>
      </c>
      <c r="I22">
        <v>0</v>
      </c>
      <c r="J22">
        <v>-0.84333289989997196</v>
      </c>
      <c r="K22">
        <v>-0.84218353981636196</v>
      </c>
      <c r="L22">
        <v>14.2045599180178</v>
      </c>
      <c r="M22">
        <v>62.614113445204801</v>
      </c>
      <c r="N22">
        <v>0.49671702391984601</v>
      </c>
      <c r="O22">
        <v>4.1887902039488702</v>
      </c>
      <c r="P22">
        <v>-0.14905457650949899</v>
      </c>
      <c r="Q22">
        <v>5.3764127770207697</v>
      </c>
      <c r="R22">
        <v>12.561306417872</v>
      </c>
      <c r="S22">
        <v>2.2983607476788701</v>
      </c>
      <c r="T22">
        <v>12.546121210173499</v>
      </c>
      <c r="U22">
        <v>0.16664721181051501</v>
      </c>
      <c r="V22">
        <v>0.85482990542905302</v>
      </c>
      <c r="W22">
        <v>2</v>
      </c>
      <c r="X22">
        <v>162.87575612075599</v>
      </c>
      <c r="Y22">
        <v>1</v>
      </c>
    </row>
    <row r="23" spans="1:25" x14ac:dyDescent="0.25">
      <c r="A23">
        <v>67</v>
      </c>
      <c r="B23">
        <v>2</v>
      </c>
      <c r="C23" s="1">
        <v>1000000</v>
      </c>
      <c r="D23">
        <v>1</v>
      </c>
      <c r="E23">
        <v>0</v>
      </c>
      <c r="F23">
        <v>0.82499999999999996</v>
      </c>
      <c r="G23">
        <v>4.8250000000000002</v>
      </c>
      <c r="H23">
        <v>0.82499999999999996</v>
      </c>
      <c r="I23">
        <v>0</v>
      </c>
      <c r="J23">
        <v>-0.78523712472162699</v>
      </c>
      <c r="K23">
        <v>-0.78309269845726404</v>
      </c>
      <c r="L23">
        <v>14.3324141867074</v>
      </c>
      <c r="M23">
        <v>62.831454752111398</v>
      </c>
      <c r="N23">
        <v>0.53327024964563696</v>
      </c>
      <c r="O23">
        <v>4.1887902046125003</v>
      </c>
      <c r="P23">
        <v>-0.108385667855751</v>
      </c>
      <c r="Q23">
        <v>5.1015747735418904</v>
      </c>
      <c r="R23">
        <v>12.5613131523869</v>
      </c>
      <c r="S23">
        <v>2.0693898210689299</v>
      </c>
      <c r="T23">
        <v>12.5461481158104</v>
      </c>
      <c r="U23">
        <v>0.163308067990558</v>
      </c>
      <c r="V23">
        <v>0.81110539146786498</v>
      </c>
      <c r="W23">
        <v>2</v>
      </c>
      <c r="X23">
        <v>162.33452492519001</v>
      </c>
      <c r="Y23">
        <v>1</v>
      </c>
    </row>
    <row r="24" spans="1:25" x14ac:dyDescent="0.25">
      <c r="A24">
        <v>67</v>
      </c>
      <c r="B24">
        <v>2</v>
      </c>
      <c r="C24" s="1">
        <v>1000000</v>
      </c>
      <c r="D24">
        <v>1</v>
      </c>
      <c r="E24">
        <v>0</v>
      </c>
      <c r="F24">
        <v>0.85</v>
      </c>
      <c r="G24">
        <v>4.8499999999999996</v>
      </c>
      <c r="H24">
        <v>0.85</v>
      </c>
      <c r="I24">
        <v>0</v>
      </c>
      <c r="J24">
        <v>-0.72923454325814696</v>
      </c>
      <c r="K24">
        <v>-0.72675115551179603</v>
      </c>
      <c r="L24">
        <v>14.4513272669007</v>
      </c>
      <c r="M24">
        <v>63.035815225867999</v>
      </c>
      <c r="N24">
        <v>0.37308450780344998</v>
      </c>
      <c r="O24">
        <v>4.18879020470599</v>
      </c>
      <c r="P24">
        <v>-6.7707229335781605E-2</v>
      </c>
      <c r="Q24">
        <v>4.8245314794072103</v>
      </c>
      <c r="R24">
        <v>12.5613170046002</v>
      </c>
      <c r="S24">
        <v>1.8507261497534899</v>
      </c>
      <c r="T24">
        <v>12.5461635060941</v>
      </c>
      <c r="U24">
        <v>0.16354584920857099</v>
      </c>
      <c r="V24">
        <v>0.76699384223565603</v>
      </c>
      <c r="W24">
        <v>2</v>
      </c>
      <c r="X24">
        <v>161.69423402233599</v>
      </c>
      <c r="Y24">
        <v>1</v>
      </c>
    </row>
    <row r="25" spans="1:25" x14ac:dyDescent="0.25">
      <c r="A25">
        <v>67</v>
      </c>
      <c r="B25">
        <v>2</v>
      </c>
      <c r="C25" s="1">
        <v>1000000</v>
      </c>
      <c r="D25">
        <v>1</v>
      </c>
      <c r="E25">
        <v>0</v>
      </c>
      <c r="F25">
        <v>0.875</v>
      </c>
      <c r="G25">
        <v>4.875</v>
      </c>
      <c r="H25">
        <v>0.875</v>
      </c>
      <c r="I25">
        <v>0</v>
      </c>
      <c r="J25">
        <v>-0.67460779709186303</v>
      </c>
      <c r="K25">
        <v>-0.67262368831138297</v>
      </c>
      <c r="L25">
        <v>14.5613503727569</v>
      </c>
      <c r="M25">
        <v>63.227482658174203</v>
      </c>
      <c r="N25">
        <v>0.52957478711197703</v>
      </c>
      <c r="O25">
        <v>4.1887902025180104</v>
      </c>
      <c r="P25">
        <v>-2.6370428323186399E-2</v>
      </c>
      <c r="Q25">
        <v>4.5441634352265901</v>
      </c>
      <c r="R25">
        <v>12.5613197762317</v>
      </c>
      <c r="S25">
        <v>1.6417927733756801</v>
      </c>
      <c r="T25">
        <v>12.546174579244401</v>
      </c>
      <c r="U25">
        <v>-1.8610173671550101E-2</v>
      </c>
      <c r="V25">
        <v>0.72296237853753598</v>
      </c>
      <c r="W25">
        <v>2</v>
      </c>
      <c r="X25">
        <v>160.972591504972</v>
      </c>
      <c r="Y25">
        <v>1</v>
      </c>
    </row>
    <row r="26" spans="1:25" x14ac:dyDescent="0.25">
      <c r="A26">
        <v>67</v>
      </c>
      <c r="B26">
        <v>2</v>
      </c>
      <c r="C26" s="1">
        <v>1000000</v>
      </c>
      <c r="D26">
        <v>1</v>
      </c>
      <c r="E26">
        <v>0</v>
      </c>
      <c r="F26">
        <v>0.9</v>
      </c>
      <c r="G26">
        <v>4.9000000000000004</v>
      </c>
      <c r="H26">
        <v>0.9</v>
      </c>
      <c r="I26">
        <v>0</v>
      </c>
      <c r="J26">
        <v>-0.62069665706965405</v>
      </c>
      <c r="K26">
        <v>-0.61908363006118505</v>
      </c>
      <c r="L26">
        <v>14.663055794307001</v>
      </c>
      <c r="M26">
        <v>63.409381806639303</v>
      </c>
      <c r="N26">
        <v>0.37608728794892698</v>
      </c>
      <c r="O26">
        <v>4.1887902046158096</v>
      </c>
      <c r="P26">
        <v>1.59849168044373E-2</v>
      </c>
      <c r="Q26">
        <v>4.2506894492958098</v>
      </c>
      <c r="R26">
        <v>12.5613218594078</v>
      </c>
      <c r="S26">
        <v>1.4365480009041101</v>
      </c>
      <c r="T26">
        <v>12.5461829018891</v>
      </c>
      <c r="U26">
        <v>-3.7313964816439803E-2</v>
      </c>
      <c r="V26">
        <v>0.67658505079140396</v>
      </c>
      <c r="W26">
        <v>2</v>
      </c>
      <c r="X26">
        <v>160.20800018782001</v>
      </c>
      <c r="Y26">
        <v>1</v>
      </c>
    </row>
    <row r="27" spans="1:25" x14ac:dyDescent="0.25">
      <c r="A27">
        <v>67</v>
      </c>
      <c r="B27">
        <v>2</v>
      </c>
      <c r="C27" s="1">
        <v>1000000</v>
      </c>
      <c r="D27">
        <v>1</v>
      </c>
      <c r="E27">
        <v>0</v>
      </c>
      <c r="F27">
        <v>0.92500000000000004</v>
      </c>
      <c r="G27">
        <v>4.9249999999999998</v>
      </c>
      <c r="H27">
        <v>0.92500000000000004</v>
      </c>
      <c r="I27">
        <v>0</v>
      </c>
      <c r="J27">
        <v>-0.56608480310853704</v>
      </c>
      <c r="K27">
        <v>-0.56510261966391595</v>
      </c>
      <c r="L27">
        <v>14.756691496814501</v>
      </c>
      <c r="M27">
        <v>63.582387218540298</v>
      </c>
      <c r="N27">
        <v>0.26077177091499498</v>
      </c>
      <c r="O27">
        <v>4.1887902044185399</v>
      </c>
      <c r="P27">
        <v>6.0720585519266498E-2</v>
      </c>
      <c r="Q27">
        <v>3.9386421947731001</v>
      </c>
      <c r="R27">
        <v>12.5613236161537</v>
      </c>
      <c r="S27">
        <v>1.2334330892846199</v>
      </c>
      <c r="T27">
        <v>12.5461899203993</v>
      </c>
      <c r="U27">
        <v>-0.16117351070010399</v>
      </c>
      <c r="V27">
        <v>0.62689912874218301</v>
      </c>
      <c r="W27">
        <v>2</v>
      </c>
      <c r="X27">
        <v>159.346058556348</v>
      </c>
      <c r="Y27">
        <v>1</v>
      </c>
    </row>
    <row r="28" spans="1:25" x14ac:dyDescent="0.25">
      <c r="A28">
        <v>67</v>
      </c>
      <c r="B28">
        <v>2</v>
      </c>
      <c r="C28" s="1">
        <v>1000000</v>
      </c>
      <c r="D28">
        <v>1</v>
      </c>
      <c r="E28">
        <v>0</v>
      </c>
      <c r="F28">
        <v>0.95</v>
      </c>
      <c r="G28">
        <v>4.95</v>
      </c>
      <c r="H28">
        <v>0.95</v>
      </c>
      <c r="I28">
        <v>0</v>
      </c>
      <c r="J28">
        <v>-0.508164172170948</v>
      </c>
      <c r="K28">
        <v>-0.50655131959458399</v>
      </c>
      <c r="L28">
        <v>14.8412316663628</v>
      </c>
      <c r="M28">
        <v>63.750641305651001</v>
      </c>
      <c r="N28">
        <v>0.30991491168144703</v>
      </c>
      <c r="O28">
        <v>4.1887902039024798</v>
      </c>
      <c r="P28">
        <v>0.11074410725987099</v>
      </c>
      <c r="Q28">
        <v>3.5802342455032399</v>
      </c>
      <c r="R28">
        <v>12.5613242797022</v>
      </c>
      <c r="S28">
        <v>1.01917107524642</v>
      </c>
      <c r="T28">
        <v>12.5461925713924</v>
      </c>
      <c r="U28">
        <v>-0.153340131837711</v>
      </c>
      <c r="V28">
        <v>0.56978200981689897</v>
      </c>
      <c r="W28">
        <v>2</v>
      </c>
      <c r="X28">
        <v>158.21759899048601</v>
      </c>
      <c r="Y28">
        <v>1</v>
      </c>
    </row>
    <row r="29" spans="1:25" x14ac:dyDescent="0.25">
      <c r="A29">
        <v>67</v>
      </c>
      <c r="B29">
        <v>2</v>
      </c>
      <c r="C29" s="1">
        <v>1000000</v>
      </c>
      <c r="D29">
        <v>1</v>
      </c>
      <c r="E29">
        <v>0</v>
      </c>
      <c r="F29">
        <v>0.97499999999999998</v>
      </c>
      <c r="G29">
        <v>4.9749999999999996</v>
      </c>
      <c r="H29">
        <v>0.97499999999999998</v>
      </c>
      <c r="I29">
        <v>0</v>
      </c>
      <c r="J29">
        <v>-0.44489366095980598</v>
      </c>
      <c r="K29">
        <v>-0.443670382746713</v>
      </c>
      <c r="L29">
        <v>14.9163763749824</v>
      </c>
      <c r="M29">
        <v>63.911180917991601</v>
      </c>
      <c r="N29">
        <v>0.40098564890875699</v>
      </c>
      <c r="O29">
        <v>4.1887902045930403</v>
      </c>
      <c r="P29">
        <v>0.16642728376038099</v>
      </c>
      <c r="Q29">
        <v>3.1731524536121101</v>
      </c>
      <c r="R29">
        <v>12.5613245024414</v>
      </c>
      <c r="S29">
        <v>0.80058390174423</v>
      </c>
      <c r="T29">
        <v>12.546193461276401</v>
      </c>
      <c r="U29">
        <v>-0.144595017966753</v>
      </c>
      <c r="V29">
        <v>0.50484151470430205</v>
      </c>
      <c r="W29">
        <v>2</v>
      </c>
      <c r="X29">
        <v>156.97263540056699</v>
      </c>
      <c r="Y29">
        <v>1</v>
      </c>
    </row>
    <row r="30" spans="1:25" x14ac:dyDescent="0.25">
      <c r="A30">
        <v>67</v>
      </c>
      <c r="B30">
        <v>2</v>
      </c>
      <c r="C30" s="1">
        <v>1000000</v>
      </c>
      <c r="D30">
        <v>1</v>
      </c>
      <c r="E30">
        <v>0</v>
      </c>
      <c r="F30">
        <v>1</v>
      </c>
      <c r="G30">
        <v>5</v>
      </c>
      <c r="H30">
        <v>1</v>
      </c>
      <c r="I30">
        <v>0</v>
      </c>
      <c r="J30">
        <v>-0.14892404509558901</v>
      </c>
      <c r="K30">
        <v>0</v>
      </c>
      <c r="L30">
        <v>14.9368819141231</v>
      </c>
      <c r="M30">
        <v>64.244182560230698</v>
      </c>
      <c r="N30">
        <v>3.28773583778673E-4</v>
      </c>
      <c r="O30">
        <v>4.1887902047863497</v>
      </c>
      <c r="P30">
        <v>0.42271537934339798</v>
      </c>
      <c r="Q30">
        <v>1.3444611130884699E-2</v>
      </c>
      <c r="R30">
        <v>12.5613239347009</v>
      </c>
      <c r="S30" s="1">
        <v>1.1712208699144499E-5</v>
      </c>
      <c r="T30">
        <v>12.5461911930279</v>
      </c>
      <c r="U30">
        <v>-6.2167456159792703E-3</v>
      </c>
      <c r="V30">
        <v>1.4722873000746501E-3</v>
      </c>
      <c r="W30">
        <v>2</v>
      </c>
      <c r="X30">
        <v>150.56440307997499</v>
      </c>
      <c r="Y30">
        <v>1</v>
      </c>
    </row>
    <row r="31" spans="1:25" x14ac:dyDescent="0.25">
      <c r="A31">
        <v>67</v>
      </c>
      <c r="B31">
        <v>2</v>
      </c>
      <c r="C31" s="1">
        <v>1000000</v>
      </c>
      <c r="D31">
        <v>1</v>
      </c>
      <c r="E31">
        <v>0</v>
      </c>
      <c r="F31">
        <v>1.0249999999999999</v>
      </c>
      <c r="G31">
        <v>5.0250000000000004</v>
      </c>
      <c r="H31">
        <v>1.0249999999999999</v>
      </c>
      <c r="I31">
        <v>0</v>
      </c>
      <c r="J31">
        <v>-0.109125800271364</v>
      </c>
      <c r="K31">
        <v>0</v>
      </c>
      <c r="L31">
        <v>14.896052738654999</v>
      </c>
      <c r="M31">
        <v>64.203442165772998</v>
      </c>
      <c r="N31">
        <v>1.03911861880977E-4</v>
      </c>
      <c r="O31">
        <v>4.1887902047863301</v>
      </c>
      <c r="P31">
        <v>0.49270061057801401</v>
      </c>
      <c r="Q31">
        <v>3.2751750186309999E-3</v>
      </c>
      <c r="R31">
        <v>12.561324460535401</v>
      </c>
      <c r="S31" s="1">
        <v>6.3252252912152897E-7</v>
      </c>
      <c r="T31">
        <v>12.5461932938518</v>
      </c>
      <c r="U31">
        <v>-2.6825045716534E-3</v>
      </c>
      <c r="V31">
        <v>3.7405575356869798E-4</v>
      </c>
      <c r="W31">
        <v>2</v>
      </c>
      <c r="X31">
        <v>148.131128941296</v>
      </c>
      <c r="Y31">
        <v>1</v>
      </c>
    </row>
    <row r="32" spans="1:25" x14ac:dyDescent="0.25">
      <c r="A32">
        <v>67</v>
      </c>
      <c r="B32">
        <v>2</v>
      </c>
      <c r="C32" s="1">
        <v>1000000</v>
      </c>
      <c r="D32">
        <v>1</v>
      </c>
      <c r="E32">
        <v>0</v>
      </c>
      <c r="F32">
        <v>1.05</v>
      </c>
      <c r="G32">
        <v>5.05</v>
      </c>
      <c r="H32">
        <v>1.05</v>
      </c>
      <c r="I32">
        <v>0</v>
      </c>
      <c r="J32">
        <v>-0.23575903390040501</v>
      </c>
      <c r="K32">
        <v>0</v>
      </c>
      <c r="L32">
        <v>14.8920343074989</v>
      </c>
      <c r="M32">
        <v>64.199325518490497</v>
      </c>
      <c r="N32">
        <v>4.6336113636293502E-4</v>
      </c>
      <c r="O32">
        <v>4.1887902047863301</v>
      </c>
      <c r="P32">
        <v>0.484479105822962</v>
      </c>
      <c r="Q32">
        <v>1.10265982328019E-2</v>
      </c>
      <c r="R32">
        <v>12.561324564004099</v>
      </c>
      <c r="S32" s="1">
        <v>8.5715147083610999E-6</v>
      </c>
      <c r="T32">
        <v>12.546193707230801</v>
      </c>
      <c r="U32">
        <v>-2.0706496579801599E-3</v>
      </c>
      <c r="V32">
        <v>1.5033581606595E-3</v>
      </c>
      <c r="W32">
        <v>2</v>
      </c>
      <c r="X32">
        <v>148.46984362391299</v>
      </c>
      <c r="Y32">
        <v>1</v>
      </c>
    </row>
    <row r="33" spans="1:25" x14ac:dyDescent="0.25">
      <c r="A33">
        <v>67</v>
      </c>
      <c r="B33">
        <v>2</v>
      </c>
      <c r="C33" s="1">
        <v>1000000</v>
      </c>
      <c r="D33">
        <v>1</v>
      </c>
      <c r="E33">
        <v>0</v>
      </c>
      <c r="F33">
        <v>1.075</v>
      </c>
      <c r="G33">
        <v>5.0750000000000002</v>
      </c>
      <c r="H33">
        <v>1.075</v>
      </c>
      <c r="I33">
        <v>0</v>
      </c>
      <c r="J33">
        <v>-2.4102965432722199E-2</v>
      </c>
      <c r="K33">
        <v>0</v>
      </c>
      <c r="L33">
        <v>14.882893131402501</v>
      </c>
      <c r="M33">
        <v>64.189994466722098</v>
      </c>
      <c r="N33">
        <v>3.8123804142771298E-4</v>
      </c>
      <c r="O33">
        <v>4.1887902047863301</v>
      </c>
      <c r="P33">
        <v>0.469370930132049</v>
      </c>
      <c r="Q33">
        <v>0.64604770023490699</v>
      </c>
      <c r="R33">
        <v>12.561324611259</v>
      </c>
      <c r="S33">
        <v>1.2339610089175901E-4</v>
      </c>
      <c r="T33">
        <v>12.546193896023199</v>
      </c>
      <c r="U33">
        <v>1.2528676658803599E-3</v>
      </c>
      <c r="V33">
        <v>1.4718986388981099E-3</v>
      </c>
      <c r="W33">
        <v>2</v>
      </c>
      <c r="X33">
        <v>148.97778515106199</v>
      </c>
      <c r="Y33">
        <v>1</v>
      </c>
    </row>
    <row r="34" spans="1:25" x14ac:dyDescent="0.25">
      <c r="A34">
        <v>67</v>
      </c>
      <c r="B34">
        <v>2</v>
      </c>
      <c r="C34" s="1">
        <v>1000000</v>
      </c>
      <c r="D34">
        <v>1</v>
      </c>
      <c r="E34">
        <v>0</v>
      </c>
      <c r="F34">
        <v>1.1000000000000001</v>
      </c>
      <c r="G34">
        <v>5.0999999999999996</v>
      </c>
      <c r="H34">
        <v>1.1000000000000001</v>
      </c>
      <c r="I34">
        <v>0</v>
      </c>
      <c r="J34">
        <v>-0.142760117966126</v>
      </c>
      <c r="K34">
        <v>0</v>
      </c>
      <c r="L34">
        <v>14.9580937917407</v>
      </c>
      <c r="M34">
        <v>64.264972420260605</v>
      </c>
      <c r="N34">
        <v>7.1970866643150796E-4</v>
      </c>
      <c r="O34">
        <v>4.1887902047863301</v>
      </c>
      <c r="P34">
        <v>0.43148837158318198</v>
      </c>
      <c r="Q34">
        <v>0.27853200382896798</v>
      </c>
      <c r="R34">
        <v>12.5613246198703</v>
      </c>
      <c r="S34" s="1">
        <v>-5.13113783053363E-5</v>
      </c>
      <c r="T34">
        <v>12.5461939304271</v>
      </c>
      <c r="U34">
        <v>-3.5218543565629402E-2</v>
      </c>
      <c r="V34">
        <v>1.8723660451586601E-3</v>
      </c>
      <c r="W34">
        <v>2</v>
      </c>
      <c r="X34">
        <v>150.14215190503299</v>
      </c>
      <c r="Y34">
        <v>1</v>
      </c>
    </row>
    <row r="35" spans="1:25" x14ac:dyDescent="0.25">
      <c r="A35">
        <v>67</v>
      </c>
      <c r="B35">
        <v>2</v>
      </c>
      <c r="C35" s="1">
        <v>1000000</v>
      </c>
      <c r="D35">
        <v>1</v>
      </c>
      <c r="E35">
        <v>0</v>
      </c>
      <c r="F35">
        <v>1.125</v>
      </c>
      <c r="G35">
        <v>5.125</v>
      </c>
      <c r="H35">
        <v>1.125</v>
      </c>
      <c r="I35">
        <v>0</v>
      </c>
      <c r="J35">
        <v>-6.9358481464566302E-2</v>
      </c>
      <c r="K35">
        <v>0</v>
      </c>
      <c r="L35">
        <v>14.9290113623453</v>
      </c>
      <c r="M35">
        <v>64.235650761683402</v>
      </c>
      <c r="N35" s="1">
        <v>2.45509987763634E-5</v>
      </c>
      <c r="O35">
        <v>4.1887902047863204</v>
      </c>
      <c r="P35">
        <v>0.43635728855852102</v>
      </c>
      <c r="Q35">
        <v>0.208308186091783</v>
      </c>
      <c r="R35">
        <v>12.561324620880301</v>
      </c>
      <c r="S35">
        <v>-1.3082936366768701E-4</v>
      </c>
      <c r="T35">
        <v>12.546193934462501</v>
      </c>
      <c r="U35">
        <v>-2.0280912598596001E-2</v>
      </c>
      <c r="V35">
        <v>1.1199782835566101E-4</v>
      </c>
      <c r="W35">
        <v>2</v>
      </c>
      <c r="X35">
        <v>150.175770109703</v>
      </c>
      <c r="Y35">
        <v>1</v>
      </c>
    </row>
    <row r="36" spans="1:25" x14ac:dyDescent="0.25">
      <c r="A36">
        <v>67</v>
      </c>
      <c r="B36">
        <v>2</v>
      </c>
      <c r="C36" s="1">
        <v>1000000</v>
      </c>
      <c r="D36">
        <v>1</v>
      </c>
      <c r="E36">
        <v>0</v>
      </c>
      <c r="F36">
        <v>1.1499999999999999</v>
      </c>
      <c r="G36">
        <v>5.15</v>
      </c>
      <c r="H36">
        <v>1.1499999999999999</v>
      </c>
      <c r="I36">
        <v>0</v>
      </c>
      <c r="J36">
        <v>-8.7184324250786094E-2</v>
      </c>
      <c r="K36">
        <v>0</v>
      </c>
      <c r="L36">
        <v>14.9248008041608</v>
      </c>
      <c r="M36">
        <v>64.231076089018401</v>
      </c>
      <c r="N36" s="1">
        <v>6.89745661743823E-5</v>
      </c>
      <c r="O36">
        <v>4.1887902047863399</v>
      </c>
      <c r="P36">
        <v>0.447503758508149</v>
      </c>
      <c r="Q36">
        <v>0.271173423121776</v>
      </c>
      <c r="R36">
        <v>12.5613246220333</v>
      </c>
      <c r="S36" s="1">
        <v>4.8481357170306601E-5</v>
      </c>
      <c r="T36">
        <v>12.546193939068701</v>
      </c>
      <c r="U36">
        <v>-1.19365135804319E-2</v>
      </c>
      <c r="V36">
        <v>5.28185010996503E-4</v>
      </c>
      <c r="W36">
        <v>2</v>
      </c>
      <c r="X36">
        <v>149.65313323713599</v>
      </c>
      <c r="Y36">
        <v>1</v>
      </c>
    </row>
    <row r="37" spans="1:25" x14ac:dyDescent="0.25">
      <c r="A37">
        <v>67</v>
      </c>
      <c r="B37">
        <v>2</v>
      </c>
      <c r="C37" s="1">
        <v>1000000</v>
      </c>
      <c r="D37">
        <v>1</v>
      </c>
      <c r="E37">
        <v>0</v>
      </c>
      <c r="F37">
        <v>1.175</v>
      </c>
      <c r="G37">
        <v>5.1749999999999998</v>
      </c>
      <c r="H37">
        <v>1.175</v>
      </c>
      <c r="I37">
        <v>0</v>
      </c>
      <c r="J37">
        <v>-5.8560457185823797E-2</v>
      </c>
      <c r="K37">
        <v>0</v>
      </c>
      <c r="L37">
        <v>14.888029860833999</v>
      </c>
      <c r="M37">
        <v>64.194107746052097</v>
      </c>
      <c r="N37">
        <v>1.6932275736212E-4</v>
      </c>
      <c r="O37">
        <v>4.1887902047863399</v>
      </c>
      <c r="P37">
        <v>0.465703321277811</v>
      </c>
      <c r="Q37">
        <v>0.27544634720519301</v>
      </c>
      <c r="R37">
        <v>12.5613246168093</v>
      </c>
      <c r="S37" s="1">
        <v>-3.41137590330583E-5</v>
      </c>
      <c r="T37">
        <v>12.546193918197799</v>
      </c>
      <c r="U37">
        <v>-1.6552971567808099E-3</v>
      </c>
      <c r="V37" s="1">
        <v>7.65146730807655E-5</v>
      </c>
      <c r="W37">
        <v>2</v>
      </c>
      <c r="X37">
        <v>149.18485234063999</v>
      </c>
      <c r="Y37">
        <v>1</v>
      </c>
    </row>
    <row r="38" spans="1:25" x14ac:dyDescent="0.25">
      <c r="A38">
        <v>67</v>
      </c>
      <c r="B38">
        <v>2</v>
      </c>
      <c r="C38" s="1">
        <v>1000000</v>
      </c>
      <c r="D38">
        <v>1</v>
      </c>
      <c r="E38">
        <v>0</v>
      </c>
      <c r="F38">
        <v>1.2</v>
      </c>
      <c r="G38">
        <v>5.2</v>
      </c>
      <c r="H38">
        <v>1.2</v>
      </c>
      <c r="I38">
        <v>0</v>
      </c>
      <c r="J38">
        <v>-7.2306843638854201E-2</v>
      </c>
      <c r="K38">
        <v>0</v>
      </c>
      <c r="L38">
        <v>14.922231845891</v>
      </c>
      <c r="M38">
        <v>64.227848784489098</v>
      </c>
      <c r="N38" s="1">
        <v>4.6299010174043897E-5</v>
      </c>
      <c r="O38">
        <v>4.1887902047863399</v>
      </c>
      <c r="P38">
        <v>0.44541331189897199</v>
      </c>
      <c r="Q38">
        <v>0.112882636034793</v>
      </c>
      <c r="R38">
        <v>12.5613246195768</v>
      </c>
      <c r="S38" s="1">
        <v>-1.12725017442786E-5</v>
      </c>
      <c r="T38">
        <v>12.5461939292545</v>
      </c>
      <c r="U38">
        <v>-1.192614904772E-2</v>
      </c>
      <c r="V38">
        <v>1.7966250051245801E-4</v>
      </c>
      <c r="W38">
        <v>2</v>
      </c>
      <c r="X38">
        <v>149.815192523327</v>
      </c>
      <c r="Y38">
        <v>1</v>
      </c>
    </row>
    <row r="39" spans="1:25" x14ac:dyDescent="0.25">
      <c r="A39">
        <v>67</v>
      </c>
      <c r="B39">
        <v>2</v>
      </c>
      <c r="C39" s="1">
        <v>1000000</v>
      </c>
      <c r="D39">
        <v>1</v>
      </c>
      <c r="E39">
        <v>0</v>
      </c>
      <c r="F39">
        <v>1.2250000000000001</v>
      </c>
      <c r="G39">
        <v>5.2249999999999996</v>
      </c>
      <c r="H39">
        <v>1.2250000000000001</v>
      </c>
      <c r="I39">
        <v>0</v>
      </c>
      <c r="J39">
        <v>-9.9855926215859606E-2</v>
      </c>
      <c r="K39">
        <v>0</v>
      </c>
      <c r="L39">
        <v>14.987180438317701</v>
      </c>
      <c r="M39">
        <v>64.291889541927205</v>
      </c>
      <c r="N39">
        <v>5.1965299582585505E-4</v>
      </c>
      <c r="O39">
        <v>4.1887902047863701</v>
      </c>
      <c r="P39">
        <v>0.47033495585686302</v>
      </c>
      <c r="Q39">
        <v>7.9865387911036007E-2</v>
      </c>
      <c r="R39">
        <v>12.5613246197021</v>
      </c>
      <c r="S39" s="1">
        <v>-1.45203589221633E-5</v>
      </c>
      <c r="T39">
        <v>12.5461939297552</v>
      </c>
      <c r="U39">
        <v>1.7240824789848602E-2</v>
      </c>
      <c r="V39" s="1">
        <v>3.6125645072166003E-5</v>
      </c>
      <c r="W39">
        <v>2</v>
      </c>
      <c r="X39">
        <v>148.45583451255499</v>
      </c>
      <c r="Y39">
        <v>1</v>
      </c>
    </row>
    <row r="40" spans="1:25" x14ac:dyDescent="0.25">
      <c r="A40">
        <v>67</v>
      </c>
      <c r="B40">
        <v>2</v>
      </c>
      <c r="C40" s="1">
        <v>1000000</v>
      </c>
      <c r="D40">
        <v>1</v>
      </c>
      <c r="E40">
        <v>0</v>
      </c>
      <c r="F40">
        <v>1.25</v>
      </c>
      <c r="G40">
        <v>5.25</v>
      </c>
      <c r="H40">
        <v>1.25</v>
      </c>
      <c r="I40">
        <v>0</v>
      </c>
      <c r="J40">
        <v>-8.3349776706462805E-2</v>
      </c>
      <c r="K40">
        <v>0</v>
      </c>
      <c r="L40">
        <v>15.028896574991199</v>
      </c>
      <c r="M40">
        <v>64.3331688592191</v>
      </c>
      <c r="N40" s="1">
        <v>3.0195633584091701E-5</v>
      </c>
      <c r="O40">
        <v>4.1887902047863097</v>
      </c>
      <c r="P40">
        <v>0.40702730583670899</v>
      </c>
      <c r="Q40">
        <v>0.37379435751968298</v>
      </c>
      <c r="R40">
        <v>12.5613246218337</v>
      </c>
      <c r="S40" s="1">
        <v>7.3656913973753496E-6</v>
      </c>
      <c r="T40">
        <v>12.5461939382715</v>
      </c>
      <c r="U40">
        <v>-2.80849254482292E-2</v>
      </c>
      <c r="V40">
        <v>1.5837360697147E-4</v>
      </c>
      <c r="W40">
        <v>2</v>
      </c>
      <c r="X40">
        <v>150.84991850182701</v>
      </c>
      <c r="Y40">
        <v>1</v>
      </c>
    </row>
    <row r="41" spans="1:25" x14ac:dyDescent="0.25">
      <c r="A41">
        <v>67</v>
      </c>
      <c r="B41">
        <v>2</v>
      </c>
      <c r="C41" s="1">
        <v>1000000</v>
      </c>
      <c r="D41">
        <v>1</v>
      </c>
      <c r="E41">
        <v>0</v>
      </c>
      <c r="F41">
        <v>1.2749999999999999</v>
      </c>
      <c r="G41">
        <v>5.2750000000000004</v>
      </c>
      <c r="H41">
        <v>1.2749999999999999</v>
      </c>
      <c r="I41">
        <v>0</v>
      </c>
      <c r="J41">
        <v>-4.8400051567651002E-2</v>
      </c>
      <c r="K41">
        <v>0</v>
      </c>
      <c r="L41">
        <v>14.995896708090999</v>
      </c>
      <c r="M41">
        <v>64.299434132924603</v>
      </c>
      <c r="N41">
        <v>3.55760576573083E-4</v>
      </c>
      <c r="O41">
        <v>4.1887902047863097</v>
      </c>
      <c r="P41">
        <v>0.41962891356989301</v>
      </c>
      <c r="Q41">
        <v>0.197406892911721</v>
      </c>
      <c r="R41">
        <v>12.561324620303999</v>
      </c>
      <c r="S41" s="1">
        <v>7.7375555898035297E-5</v>
      </c>
      <c r="T41">
        <v>12.5461939321599</v>
      </c>
      <c r="U41">
        <v>-1.12914592725395E-2</v>
      </c>
      <c r="V41">
        <v>1.01643042989461E-3</v>
      </c>
      <c r="W41">
        <v>2</v>
      </c>
      <c r="X41">
        <v>150.53711342010999</v>
      </c>
      <c r="Y41">
        <v>1</v>
      </c>
    </row>
    <row r="42" spans="1:25" x14ac:dyDescent="0.25">
      <c r="A42">
        <v>67</v>
      </c>
      <c r="B42">
        <v>2</v>
      </c>
      <c r="C42" s="1">
        <v>1000000</v>
      </c>
      <c r="D42">
        <v>1</v>
      </c>
      <c r="E42">
        <v>0</v>
      </c>
      <c r="F42">
        <v>1.3</v>
      </c>
      <c r="G42">
        <v>5.3</v>
      </c>
      <c r="H42">
        <v>1.3</v>
      </c>
      <c r="I42">
        <v>0</v>
      </c>
      <c r="J42">
        <v>-6.6452071089242906E-2</v>
      </c>
      <c r="K42">
        <v>0</v>
      </c>
      <c r="L42">
        <v>14.7432189924086</v>
      </c>
      <c r="M42">
        <v>64.209209890765294</v>
      </c>
      <c r="N42" s="1">
        <v>2.0991499993908699E-5</v>
      </c>
      <c r="O42">
        <v>4.1887902047863603</v>
      </c>
      <c r="P42">
        <v>0.45374731769561299</v>
      </c>
      <c r="Q42">
        <v>5.2341992774771598E-2</v>
      </c>
      <c r="R42">
        <v>12.561324612361</v>
      </c>
      <c r="S42" s="1">
        <v>-2.7925401223402299E-6</v>
      </c>
      <c r="T42">
        <v>12.546193900425999</v>
      </c>
      <c r="U42">
        <v>-1.1501679293908901E-3</v>
      </c>
      <c r="V42">
        <v>3.1309461034979299E-4</v>
      </c>
      <c r="W42">
        <v>2</v>
      </c>
      <c r="X42">
        <v>149.62828686646</v>
      </c>
      <c r="Y42">
        <v>1</v>
      </c>
    </row>
    <row r="43" spans="1:25" x14ac:dyDescent="0.25">
      <c r="A43">
        <v>100</v>
      </c>
      <c r="B43">
        <v>2</v>
      </c>
      <c r="C43" s="1">
        <v>1000000</v>
      </c>
      <c r="D43">
        <v>1</v>
      </c>
      <c r="E43">
        <v>0</v>
      </c>
      <c r="F43">
        <v>0.3</v>
      </c>
      <c r="G43">
        <v>4.3</v>
      </c>
      <c r="H43">
        <v>0.3</v>
      </c>
      <c r="I43">
        <v>0</v>
      </c>
      <c r="J43">
        <v>3.4984687469195599</v>
      </c>
      <c r="K43">
        <v>3.4955792587174099</v>
      </c>
      <c r="L43">
        <v>3.0377022625180601</v>
      </c>
      <c r="M43">
        <v>54.916247173755401</v>
      </c>
      <c r="N43">
        <v>1.44034980127664E-2</v>
      </c>
      <c r="O43">
        <v>4.1887902053879698</v>
      </c>
      <c r="P43">
        <v>2.3912300167995402</v>
      </c>
      <c r="Q43">
        <v>13.6454815746203</v>
      </c>
      <c r="R43">
        <v>12.561324558356899</v>
      </c>
      <c r="S43">
        <v>14.804744017937701</v>
      </c>
      <c r="T43">
        <v>12.546193684670101</v>
      </c>
      <c r="U43">
        <v>3.1386899383679098E-2</v>
      </c>
      <c r="V43">
        <v>2</v>
      </c>
      <c r="W43">
        <v>2.1739899999999999</v>
      </c>
      <c r="X43">
        <v>41.945065430658097</v>
      </c>
      <c r="Y43">
        <v>1</v>
      </c>
    </row>
    <row r="44" spans="1:25" x14ac:dyDescent="0.25">
      <c r="A44">
        <v>100</v>
      </c>
      <c r="B44">
        <v>2</v>
      </c>
      <c r="C44" s="1">
        <v>1000000</v>
      </c>
      <c r="D44">
        <v>1</v>
      </c>
      <c r="E44">
        <v>0</v>
      </c>
      <c r="F44">
        <v>0.32500000000000001</v>
      </c>
      <c r="G44">
        <v>4.3250000000000002</v>
      </c>
      <c r="H44">
        <v>0.32500000000000001</v>
      </c>
      <c r="I44">
        <v>0</v>
      </c>
      <c r="J44">
        <v>-1.10006978384612</v>
      </c>
      <c r="K44">
        <v>-1.1002070596089799</v>
      </c>
      <c r="L44">
        <v>2.8424690447082201</v>
      </c>
      <c r="M44">
        <v>54.449782725184001</v>
      </c>
      <c r="N44">
        <v>4.3264536531772202E-2</v>
      </c>
      <c r="O44">
        <v>4.1887902046946497</v>
      </c>
      <c r="P44">
        <v>0.437712862269099</v>
      </c>
      <c r="Q44">
        <v>12.9054152073853</v>
      </c>
      <c r="R44">
        <v>12.5613236856199</v>
      </c>
      <c r="S44">
        <v>13.242809658905299</v>
      </c>
      <c r="T44">
        <v>12.5461901979324</v>
      </c>
      <c r="U44">
        <v>5.3139792279813802E-2</v>
      </c>
      <c r="V44">
        <v>2</v>
      </c>
      <c r="W44">
        <v>2.0558800000000002</v>
      </c>
      <c r="X44">
        <v>80.651207847892394</v>
      </c>
      <c r="Y44">
        <v>1</v>
      </c>
    </row>
    <row r="45" spans="1:25" x14ac:dyDescent="0.25">
      <c r="A45">
        <v>100</v>
      </c>
      <c r="B45">
        <v>2</v>
      </c>
      <c r="C45" s="1">
        <v>1000000</v>
      </c>
      <c r="D45">
        <v>1</v>
      </c>
      <c r="E45">
        <v>0</v>
      </c>
      <c r="F45">
        <v>0.35</v>
      </c>
      <c r="G45">
        <v>4.3499999999999996</v>
      </c>
      <c r="H45">
        <v>0.35</v>
      </c>
      <c r="I45">
        <v>0</v>
      </c>
      <c r="J45">
        <v>-4.4020171814017397</v>
      </c>
      <c r="K45">
        <v>-4.4010857995359904</v>
      </c>
      <c r="L45">
        <v>3.3087657468072198</v>
      </c>
      <c r="M45">
        <v>54.6781826980462</v>
      </c>
      <c r="N45">
        <v>5.6024445078155398E-2</v>
      </c>
      <c r="O45">
        <v>4.1887902044091598</v>
      </c>
      <c r="P45">
        <v>-1.3154948634033701</v>
      </c>
      <c r="Q45">
        <v>12.219719178469999</v>
      </c>
      <c r="R45">
        <v>12.561320085282301</v>
      </c>
      <c r="S45">
        <v>11.872918609719299</v>
      </c>
      <c r="T45">
        <v>12.5461758135756</v>
      </c>
      <c r="U45">
        <v>6.5078470750946804E-2</v>
      </c>
      <c r="V45">
        <v>1.9352409517757601</v>
      </c>
      <c r="W45">
        <v>2</v>
      </c>
      <c r="X45">
        <v>114.996665827494</v>
      </c>
      <c r="Y45">
        <v>1</v>
      </c>
    </row>
    <row r="46" spans="1:25" x14ac:dyDescent="0.25">
      <c r="A46">
        <v>100</v>
      </c>
      <c r="B46">
        <v>2</v>
      </c>
      <c r="C46" s="1">
        <v>1000000</v>
      </c>
      <c r="D46">
        <v>1</v>
      </c>
      <c r="E46">
        <v>0</v>
      </c>
      <c r="F46">
        <v>0.375</v>
      </c>
      <c r="G46">
        <v>4.375</v>
      </c>
      <c r="H46">
        <v>0.375</v>
      </c>
      <c r="I46">
        <v>0</v>
      </c>
      <c r="J46">
        <v>-5.3861085113480396</v>
      </c>
      <c r="K46">
        <v>-5.3872476664995901</v>
      </c>
      <c r="L46">
        <v>4.0994684187318304</v>
      </c>
      <c r="M46">
        <v>55.2779792530634</v>
      </c>
      <c r="N46">
        <v>7.4211731162912506E-2</v>
      </c>
      <c r="O46">
        <v>4.1887902044664402</v>
      </c>
      <c r="P46">
        <v>-2.0776909786969502</v>
      </c>
      <c r="Q46">
        <v>11.640642085528301</v>
      </c>
      <c r="R46">
        <v>12.5612966340396</v>
      </c>
      <c r="S46">
        <v>10.7741146483961</v>
      </c>
      <c r="T46">
        <v>12.5460821201772</v>
      </c>
      <c r="U46">
        <v>7.5818808070176893E-2</v>
      </c>
      <c r="V46">
        <v>1.84437767796236</v>
      </c>
      <c r="W46">
        <v>2</v>
      </c>
      <c r="X46">
        <v>138.642440180611</v>
      </c>
      <c r="Y46">
        <v>1</v>
      </c>
    </row>
    <row r="47" spans="1:25" x14ac:dyDescent="0.25">
      <c r="A47">
        <v>100</v>
      </c>
      <c r="B47">
        <v>2</v>
      </c>
      <c r="C47" s="1">
        <v>1000000</v>
      </c>
      <c r="D47">
        <v>1</v>
      </c>
      <c r="E47">
        <v>0</v>
      </c>
      <c r="F47">
        <v>0.4</v>
      </c>
      <c r="G47">
        <v>4.4000000000000004</v>
      </c>
      <c r="H47">
        <v>0.4</v>
      </c>
      <c r="I47">
        <v>0</v>
      </c>
      <c r="J47">
        <v>-5.31397970392229</v>
      </c>
      <c r="K47">
        <v>-5.3121114361194497</v>
      </c>
      <c r="L47">
        <v>4.9472437494341097</v>
      </c>
      <c r="M47">
        <v>55.972986286722403</v>
      </c>
      <c r="N47">
        <v>1.07701346929811E-2</v>
      </c>
      <c r="O47">
        <v>4.1887902047845902</v>
      </c>
      <c r="P47">
        <v>-2.26304939899557</v>
      </c>
      <c r="Q47">
        <v>11.155201516248299</v>
      </c>
      <c r="R47">
        <v>12.5613031927693</v>
      </c>
      <c r="S47">
        <v>9.8942831720110291</v>
      </c>
      <c r="T47">
        <v>12.546108322867299</v>
      </c>
      <c r="U47">
        <v>8.3702517062309398E-2</v>
      </c>
      <c r="V47">
        <v>1.7682795218273299</v>
      </c>
      <c r="W47">
        <v>2</v>
      </c>
      <c r="X47">
        <v>152.68259844475699</v>
      </c>
      <c r="Y47">
        <v>1</v>
      </c>
    </row>
    <row r="48" spans="1:25" x14ac:dyDescent="0.25">
      <c r="A48">
        <v>100</v>
      </c>
      <c r="B48">
        <v>2</v>
      </c>
      <c r="C48" s="1">
        <v>1000000</v>
      </c>
      <c r="D48">
        <v>1</v>
      </c>
      <c r="E48">
        <v>0</v>
      </c>
      <c r="F48">
        <v>0.42499999999999999</v>
      </c>
      <c r="G48">
        <v>4.4249999999999998</v>
      </c>
      <c r="H48">
        <v>0.42499999999999999</v>
      </c>
      <c r="I48">
        <v>0</v>
      </c>
      <c r="J48">
        <v>-4.9271701403455799</v>
      </c>
      <c r="K48">
        <v>-4.9186408123095404</v>
      </c>
      <c r="L48">
        <v>5.7531702482318803</v>
      </c>
      <c r="M48">
        <v>56.651809600230798</v>
      </c>
      <c r="N48">
        <v>8.1868470774211305E-2</v>
      </c>
      <c r="O48">
        <v>4.1887902040456604</v>
      </c>
      <c r="P48">
        <v>-2.21922139927057</v>
      </c>
      <c r="Q48">
        <v>10.7347634330561</v>
      </c>
      <c r="R48">
        <v>12.5613112820069</v>
      </c>
      <c r="S48">
        <v>9.1622464681778801</v>
      </c>
      <c r="T48">
        <v>12.546140641992499</v>
      </c>
      <c r="U48">
        <v>0.100307804374002</v>
      </c>
      <c r="V48">
        <v>1.70028393698695</v>
      </c>
      <c r="W48">
        <v>2</v>
      </c>
      <c r="X48">
        <v>161.138416858141</v>
      </c>
      <c r="Y48">
        <v>1</v>
      </c>
    </row>
    <row r="49" spans="1:25" x14ac:dyDescent="0.25">
      <c r="A49">
        <v>100</v>
      </c>
      <c r="B49">
        <v>2</v>
      </c>
      <c r="C49" s="1">
        <v>1000000</v>
      </c>
      <c r="D49">
        <v>1</v>
      </c>
      <c r="E49">
        <v>0</v>
      </c>
      <c r="F49">
        <v>0.45</v>
      </c>
      <c r="G49">
        <v>4.45</v>
      </c>
      <c r="H49">
        <v>0.45</v>
      </c>
      <c r="I49">
        <v>0</v>
      </c>
      <c r="J49">
        <v>-4.5006703153807104</v>
      </c>
      <c r="K49">
        <v>-4.4959332627000599</v>
      </c>
      <c r="L49">
        <v>6.4932361577556197</v>
      </c>
      <c r="M49">
        <v>57.285295512309098</v>
      </c>
      <c r="N49">
        <v>6.5951509504512396E-2</v>
      </c>
      <c r="O49">
        <v>4.1887901959927198</v>
      </c>
      <c r="P49">
        <v>-2.1097002216484499</v>
      </c>
      <c r="Q49">
        <v>10.3697693110079</v>
      </c>
      <c r="R49">
        <v>12.561269812914</v>
      </c>
      <c r="S49">
        <v>8.5493438445653904</v>
      </c>
      <c r="T49">
        <v>12.545974955760199</v>
      </c>
      <c r="U49">
        <v>0.116003211911178</v>
      </c>
      <c r="V49">
        <v>1.6424328250704201</v>
      </c>
      <c r="W49">
        <v>2</v>
      </c>
      <c r="X49">
        <v>167.81265147832801</v>
      </c>
      <c r="Y49">
        <v>1</v>
      </c>
    </row>
    <row r="50" spans="1:25" x14ac:dyDescent="0.25">
      <c r="A50">
        <v>100</v>
      </c>
      <c r="B50">
        <v>2</v>
      </c>
      <c r="C50" s="1">
        <v>1000000</v>
      </c>
      <c r="D50">
        <v>1</v>
      </c>
      <c r="E50">
        <v>0</v>
      </c>
      <c r="F50">
        <v>0.47499999999999998</v>
      </c>
      <c r="G50">
        <v>4.4749999999999996</v>
      </c>
      <c r="H50">
        <v>0.47499999999999998</v>
      </c>
      <c r="I50">
        <v>0</v>
      </c>
      <c r="J50">
        <v>-4.1033334975456004</v>
      </c>
      <c r="K50">
        <v>-4.0956098164063102</v>
      </c>
      <c r="L50">
        <v>7.1679994840693801</v>
      </c>
      <c r="M50">
        <v>57.866291670194698</v>
      </c>
      <c r="N50">
        <v>5.7030084641051498E-2</v>
      </c>
      <c r="O50">
        <v>4.1887902031763797</v>
      </c>
      <c r="P50">
        <v>-1.9786933167581</v>
      </c>
      <c r="Q50">
        <v>10.037065276541901</v>
      </c>
      <c r="R50">
        <v>12.5612480880903</v>
      </c>
      <c r="S50">
        <v>8.00977876982137</v>
      </c>
      <c r="T50">
        <v>12.545888143975599</v>
      </c>
      <c r="U50">
        <v>0.12938777105337901</v>
      </c>
      <c r="V50">
        <v>1.5903492816717799</v>
      </c>
      <c r="W50">
        <v>2</v>
      </c>
      <c r="X50">
        <v>171.78712627482599</v>
      </c>
      <c r="Y50">
        <v>1</v>
      </c>
    </row>
    <row r="51" spans="1:25" x14ac:dyDescent="0.25">
      <c r="A51">
        <v>100</v>
      </c>
      <c r="B51">
        <v>2</v>
      </c>
      <c r="C51" s="1">
        <v>1000000</v>
      </c>
      <c r="D51">
        <v>1</v>
      </c>
      <c r="E51">
        <v>0</v>
      </c>
      <c r="F51">
        <v>0.5</v>
      </c>
      <c r="G51">
        <v>4.5</v>
      </c>
      <c r="H51">
        <v>0.5</v>
      </c>
      <c r="I51">
        <v>0</v>
      </c>
      <c r="J51">
        <v>-3.7490245977943499</v>
      </c>
      <c r="K51">
        <v>-3.7443824697673</v>
      </c>
      <c r="L51">
        <v>7.7837803542394299</v>
      </c>
      <c r="M51">
        <v>58.399309686903102</v>
      </c>
      <c r="N51">
        <v>2.3015414333427998E-2</v>
      </c>
      <c r="O51">
        <v>4.1887902047864198</v>
      </c>
      <c r="P51">
        <v>-1.8506211679870499</v>
      </c>
      <c r="Q51">
        <v>9.7340288806174406</v>
      </c>
      <c r="R51">
        <v>12.5612630692804</v>
      </c>
      <c r="S51">
        <v>7.5328770955263504</v>
      </c>
      <c r="T51">
        <v>12.545948005513299</v>
      </c>
      <c r="U51">
        <v>0.13422442472851401</v>
      </c>
      <c r="V51">
        <v>1.54332191964153</v>
      </c>
      <c r="W51">
        <v>2</v>
      </c>
      <c r="X51">
        <v>174.58828699678401</v>
      </c>
      <c r="Y51">
        <v>1</v>
      </c>
    </row>
    <row r="52" spans="1:25" x14ac:dyDescent="0.25">
      <c r="A52">
        <v>100</v>
      </c>
      <c r="B52">
        <v>2</v>
      </c>
      <c r="C52" s="1">
        <v>1000000</v>
      </c>
      <c r="D52">
        <v>1</v>
      </c>
      <c r="E52">
        <v>0</v>
      </c>
      <c r="F52">
        <v>0.52500000000000002</v>
      </c>
      <c r="G52">
        <v>4.5250000000000004</v>
      </c>
      <c r="H52">
        <v>0.52500000000000002</v>
      </c>
      <c r="I52">
        <v>0</v>
      </c>
      <c r="J52">
        <v>-3.4344005792049499</v>
      </c>
      <c r="K52">
        <v>-3.4310105163888198</v>
      </c>
      <c r="L52">
        <v>8.3461924022307805</v>
      </c>
      <c r="M52">
        <v>58.887021268368002</v>
      </c>
      <c r="N52">
        <v>0.19755552283327599</v>
      </c>
      <c r="O52">
        <v>4.1887902000161503</v>
      </c>
      <c r="P52">
        <v>-1.7242871048419</v>
      </c>
      <c r="Q52">
        <v>9.4524499516061393</v>
      </c>
      <c r="R52">
        <v>12.561218215374801</v>
      </c>
      <c r="S52">
        <v>7.1037061250738596</v>
      </c>
      <c r="T52">
        <v>12.545768776165101</v>
      </c>
      <c r="U52">
        <v>0.144223738372147</v>
      </c>
      <c r="V52">
        <v>1.4972391093483</v>
      </c>
      <c r="W52">
        <v>2</v>
      </c>
      <c r="X52">
        <v>176.61297807135799</v>
      </c>
      <c r="Y52">
        <v>1</v>
      </c>
    </row>
    <row r="53" spans="1:25" x14ac:dyDescent="0.25">
      <c r="A53">
        <v>100</v>
      </c>
      <c r="B53">
        <v>2</v>
      </c>
      <c r="C53" s="1">
        <v>1000000</v>
      </c>
      <c r="D53">
        <v>1</v>
      </c>
      <c r="E53">
        <v>0</v>
      </c>
      <c r="F53">
        <v>0.55000000000000004</v>
      </c>
      <c r="G53">
        <v>4.55</v>
      </c>
      <c r="H53">
        <v>0.55000000000000004</v>
      </c>
      <c r="I53">
        <v>0</v>
      </c>
      <c r="J53">
        <v>-3.16505429543697</v>
      </c>
      <c r="K53">
        <v>-3.1591369666795699</v>
      </c>
      <c r="L53">
        <v>8.8639683747971993</v>
      </c>
      <c r="M53">
        <v>59.336810048770097</v>
      </c>
      <c r="N53">
        <v>0.24807449147549901</v>
      </c>
      <c r="O53">
        <v>4.1887901951093198</v>
      </c>
      <c r="P53">
        <v>-1.6093562014076299</v>
      </c>
      <c r="Q53">
        <v>9.1878298473755802</v>
      </c>
      <c r="R53">
        <v>12.561249273679399</v>
      </c>
      <c r="S53">
        <v>6.7115017147286302</v>
      </c>
      <c r="T53">
        <v>12.5458928785153</v>
      </c>
      <c r="U53">
        <v>0.15922891746353199</v>
      </c>
      <c r="V53">
        <v>1.4554025169837399</v>
      </c>
      <c r="W53">
        <v>2</v>
      </c>
      <c r="X53">
        <v>166.56184271986899</v>
      </c>
      <c r="Y53">
        <v>1</v>
      </c>
    </row>
    <row r="54" spans="1:25" x14ac:dyDescent="0.25">
      <c r="A54">
        <v>100</v>
      </c>
      <c r="B54">
        <v>2</v>
      </c>
      <c r="C54" s="1">
        <v>1000000</v>
      </c>
      <c r="D54">
        <v>1</v>
      </c>
      <c r="E54">
        <v>0</v>
      </c>
      <c r="F54">
        <v>0.57499999999999996</v>
      </c>
      <c r="G54">
        <v>4.5750000000000002</v>
      </c>
      <c r="H54">
        <v>0.57499999999999996</v>
      </c>
      <c r="I54">
        <v>0</v>
      </c>
      <c r="J54">
        <v>-2.9248588638496198</v>
      </c>
      <c r="K54">
        <v>-2.9210043948717499</v>
      </c>
      <c r="L54">
        <v>9.3407446487038897</v>
      </c>
      <c r="M54">
        <v>59.750923671804699</v>
      </c>
      <c r="N54">
        <v>0.219835451733087</v>
      </c>
      <c r="O54">
        <v>4.1887901969854697</v>
      </c>
      <c r="P54">
        <v>-1.50320541356992</v>
      </c>
      <c r="Q54">
        <v>8.9390943759956691</v>
      </c>
      <c r="R54">
        <v>12.561145589693</v>
      </c>
      <c r="S54">
        <v>6.35303888840909</v>
      </c>
      <c r="T54">
        <v>12.5454785955004</v>
      </c>
      <c r="U54">
        <v>0.172137509423197</v>
      </c>
      <c r="V54">
        <v>1.41495704904872</v>
      </c>
      <c r="W54">
        <v>2</v>
      </c>
      <c r="X54">
        <v>72.068705540089098</v>
      </c>
      <c r="Y54">
        <v>1</v>
      </c>
    </row>
    <row r="55" spans="1:25" x14ac:dyDescent="0.25">
      <c r="A55">
        <v>100</v>
      </c>
      <c r="B55">
        <v>2</v>
      </c>
      <c r="C55" s="1">
        <v>1000000</v>
      </c>
      <c r="D55">
        <v>1</v>
      </c>
      <c r="E55">
        <v>0</v>
      </c>
      <c r="F55">
        <v>0.6</v>
      </c>
      <c r="G55">
        <v>4.5999999999999996</v>
      </c>
      <c r="H55">
        <v>0.6</v>
      </c>
      <c r="I55">
        <v>0</v>
      </c>
      <c r="J55">
        <v>-2.7136446992462901</v>
      </c>
      <c r="K55">
        <v>-2.7109328453488502</v>
      </c>
      <c r="L55">
        <v>9.7832865444085204</v>
      </c>
      <c r="M55">
        <v>60.135653529566298</v>
      </c>
      <c r="N55">
        <v>0.23036718016344199</v>
      </c>
      <c r="O55">
        <v>4.1887901968614898</v>
      </c>
      <c r="P55">
        <v>-1.40559503776525</v>
      </c>
      <c r="Q55">
        <v>8.7023891061295995</v>
      </c>
      <c r="R55">
        <v>12.561106305007501</v>
      </c>
      <c r="S55">
        <v>6.0210180982542996</v>
      </c>
      <c r="T55">
        <v>12.5453216267153</v>
      </c>
      <c r="U55">
        <v>0.18090457349314801</v>
      </c>
      <c r="V55">
        <v>1.3773475397666199</v>
      </c>
      <c r="W55">
        <v>2</v>
      </c>
      <c r="X55">
        <v>66.989931916817994</v>
      </c>
      <c r="Y55">
        <v>1</v>
      </c>
    </row>
    <row r="56" spans="1:25" x14ac:dyDescent="0.25">
      <c r="A56">
        <v>100</v>
      </c>
      <c r="B56">
        <v>2</v>
      </c>
      <c r="C56" s="1">
        <v>1000000</v>
      </c>
      <c r="D56">
        <v>1</v>
      </c>
      <c r="E56">
        <v>0</v>
      </c>
      <c r="F56">
        <v>0.625</v>
      </c>
      <c r="G56">
        <v>4.625</v>
      </c>
      <c r="H56">
        <v>0.625</v>
      </c>
      <c r="I56">
        <v>0</v>
      </c>
      <c r="J56">
        <v>-2.5257472849109002</v>
      </c>
      <c r="K56">
        <v>-2.5236102538246601</v>
      </c>
      <c r="L56">
        <v>10.194599644494399</v>
      </c>
      <c r="M56">
        <v>60.492760637996298</v>
      </c>
      <c r="N56">
        <v>0.28443847667447902</v>
      </c>
      <c r="O56">
        <v>4.1887901959866598</v>
      </c>
      <c r="P56">
        <v>-1.31528332527697</v>
      </c>
      <c r="Q56">
        <v>8.4747210297238098</v>
      </c>
      <c r="R56">
        <v>12.5610557173861</v>
      </c>
      <c r="S56">
        <v>5.7100548215417399</v>
      </c>
      <c r="T56">
        <v>12.5451194922115</v>
      </c>
      <c r="U56">
        <v>0.18972268814734899</v>
      </c>
      <c r="V56">
        <v>1.34166199438983</v>
      </c>
      <c r="W56">
        <v>2</v>
      </c>
      <c r="X56">
        <v>38.9407581111602</v>
      </c>
      <c r="Y56">
        <v>1</v>
      </c>
    </row>
    <row r="57" spans="1:25" x14ac:dyDescent="0.25">
      <c r="A57">
        <v>100</v>
      </c>
      <c r="B57">
        <v>2</v>
      </c>
      <c r="C57" s="1">
        <v>1000000</v>
      </c>
      <c r="D57">
        <v>1</v>
      </c>
      <c r="E57">
        <v>0</v>
      </c>
      <c r="F57">
        <v>0.65</v>
      </c>
      <c r="G57">
        <v>4.6500000000000004</v>
      </c>
      <c r="H57">
        <v>0.65</v>
      </c>
      <c r="I57">
        <v>0</v>
      </c>
      <c r="J57">
        <v>-2.35851391949838</v>
      </c>
      <c r="K57">
        <v>-2.3532764343780501</v>
      </c>
      <c r="L57">
        <v>10.5779536120525</v>
      </c>
      <c r="M57">
        <v>60.823599466006002</v>
      </c>
      <c r="N57">
        <v>0.338513298622517</v>
      </c>
      <c r="O57">
        <v>4.1887901888275296</v>
      </c>
      <c r="P57">
        <v>-1.2308935212001799</v>
      </c>
      <c r="Q57">
        <v>8.2503297029105092</v>
      </c>
      <c r="R57">
        <v>12.560886555792299</v>
      </c>
      <c r="S57">
        <v>5.4115836546024401</v>
      </c>
      <c r="T57">
        <v>12.5444435689984</v>
      </c>
      <c r="U57">
        <v>0.19074007745605001</v>
      </c>
      <c r="V57">
        <v>1.30601649933042</v>
      </c>
      <c r="W57">
        <v>2</v>
      </c>
      <c r="X57">
        <v>33.304236090690999</v>
      </c>
      <c r="Y57">
        <v>1</v>
      </c>
    </row>
    <row r="58" spans="1:25" x14ac:dyDescent="0.25">
      <c r="A58">
        <v>100</v>
      </c>
      <c r="B58">
        <v>2</v>
      </c>
      <c r="C58" s="1">
        <v>1000000</v>
      </c>
      <c r="D58">
        <v>1</v>
      </c>
      <c r="E58">
        <v>0</v>
      </c>
      <c r="F58">
        <v>0.67500000000000004</v>
      </c>
      <c r="G58">
        <v>4.6749999999999998</v>
      </c>
      <c r="H58">
        <v>0.67500000000000004</v>
      </c>
      <c r="I58">
        <v>0</v>
      </c>
      <c r="J58">
        <v>-2.2077570161565001</v>
      </c>
      <c r="K58">
        <v>-2.2030928692403902</v>
      </c>
      <c r="L58">
        <v>10.9363622555537</v>
      </c>
      <c r="M58">
        <v>61.134821068667399</v>
      </c>
      <c r="N58">
        <v>0.31223796729023101</v>
      </c>
      <c r="O58">
        <v>4.1887901911614902</v>
      </c>
      <c r="P58">
        <v>-1.15263508029984</v>
      </c>
      <c r="Q58">
        <v>8.0404071527381493</v>
      </c>
      <c r="R58">
        <v>12.560893244808399</v>
      </c>
      <c r="S58">
        <v>5.1396886544793503</v>
      </c>
      <c r="T58">
        <v>12.544470283253199</v>
      </c>
      <c r="U58">
        <v>0.19038244068627999</v>
      </c>
      <c r="V58">
        <v>1.27242970359901</v>
      </c>
      <c r="W58">
        <v>2</v>
      </c>
      <c r="X58">
        <v>38.788639039704599</v>
      </c>
      <c r="Y58">
        <v>1</v>
      </c>
    </row>
    <row r="59" spans="1:25" x14ac:dyDescent="0.25">
      <c r="A59">
        <v>100</v>
      </c>
      <c r="B59">
        <v>2</v>
      </c>
      <c r="C59" s="1">
        <v>1000000</v>
      </c>
      <c r="D59">
        <v>1</v>
      </c>
      <c r="E59">
        <v>0</v>
      </c>
      <c r="F59">
        <v>0.7</v>
      </c>
      <c r="G59">
        <v>4.7</v>
      </c>
      <c r="H59">
        <v>0.7</v>
      </c>
      <c r="I59">
        <v>0</v>
      </c>
      <c r="J59">
        <v>-2.0709814591401199</v>
      </c>
      <c r="K59">
        <v>-2.0663261275084501</v>
      </c>
      <c r="L59">
        <v>11.2722387830212</v>
      </c>
      <c r="M59">
        <v>61.425552775797897</v>
      </c>
      <c r="N59">
        <v>0.20750805624903901</v>
      </c>
      <c r="O59">
        <v>4.1887901861149199</v>
      </c>
      <c r="P59">
        <v>-1.0792311525435101</v>
      </c>
      <c r="Q59">
        <v>7.8350207470431696</v>
      </c>
      <c r="R59">
        <v>12.5608641067174</v>
      </c>
      <c r="S59">
        <v>4.8804380554520801</v>
      </c>
      <c r="T59">
        <v>12.5443538423315</v>
      </c>
      <c r="U59">
        <v>0.193936434981894</v>
      </c>
      <c r="V59">
        <v>1.23939448640658</v>
      </c>
      <c r="W59">
        <v>2</v>
      </c>
      <c r="X59">
        <v>77.939442818700797</v>
      </c>
      <c r="Y59">
        <v>1</v>
      </c>
    </row>
    <row r="60" spans="1:25" x14ac:dyDescent="0.25">
      <c r="A60">
        <v>100</v>
      </c>
      <c r="B60">
        <v>2</v>
      </c>
      <c r="C60" s="1">
        <v>1000000</v>
      </c>
      <c r="D60">
        <v>1</v>
      </c>
      <c r="E60">
        <v>0</v>
      </c>
      <c r="F60">
        <v>0.72499999999999998</v>
      </c>
      <c r="G60">
        <v>4.7249999999999996</v>
      </c>
      <c r="H60">
        <v>0.72499999999999998</v>
      </c>
      <c r="I60">
        <v>0</v>
      </c>
      <c r="J60">
        <v>-1.9467644657618599</v>
      </c>
      <c r="K60">
        <v>-1.94246676528618</v>
      </c>
      <c r="L60">
        <v>11.587661172188501</v>
      </c>
      <c r="M60">
        <v>61.698743828288897</v>
      </c>
      <c r="N60">
        <v>0.340453801970939</v>
      </c>
      <c r="O60">
        <v>4.1887902015565404</v>
      </c>
      <c r="P60">
        <v>-1.0103795338252199</v>
      </c>
      <c r="Q60">
        <v>7.6365278735412998</v>
      </c>
      <c r="R60">
        <v>12.560907928330201</v>
      </c>
      <c r="S60">
        <v>4.6362447244341896</v>
      </c>
      <c r="T60">
        <v>12.544528928011999</v>
      </c>
      <c r="U60">
        <v>0.195591223177743</v>
      </c>
      <c r="V60">
        <v>1.2074332587962699</v>
      </c>
      <c r="W60">
        <v>2</v>
      </c>
      <c r="X60">
        <v>128.202517297366</v>
      </c>
      <c r="Y60">
        <v>1</v>
      </c>
    </row>
    <row r="61" spans="1:25" x14ac:dyDescent="0.25">
      <c r="A61">
        <v>100</v>
      </c>
      <c r="B61">
        <v>2</v>
      </c>
      <c r="C61" s="1">
        <v>1000000</v>
      </c>
      <c r="D61">
        <v>1</v>
      </c>
      <c r="E61">
        <v>0</v>
      </c>
      <c r="F61">
        <v>0.75</v>
      </c>
      <c r="G61">
        <v>4.75</v>
      </c>
      <c r="H61">
        <v>0.75</v>
      </c>
      <c r="I61">
        <v>0</v>
      </c>
      <c r="J61">
        <v>-1.8335092451877</v>
      </c>
      <c r="K61">
        <v>-1.8283385471365501</v>
      </c>
      <c r="L61">
        <v>11.8844009198293</v>
      </c>
      <c r="M61">
        <v>61.954661078889799</v>
      </c>
      <c r="N61">
        <v>0.24658739267327301</v>
      </c>
      <c r="O61">
        <v>4.1887902062125502</v>
      </c>
      <c r="P61">
        <v>-0.94530744996344696</v>
      </c>
      <c r="Q61">
        <v>7.4404052604775597</v>
      </c>
      <c r="R61">
        <v>12.560910067668001</v>
      </c>
      <c r="S61">
        <v>4.4011301402609604</v>
      </c>
      <c r="T61">
        <v>12.5445374625162</v>
      </c>
      <c r="U61">
        <v>0.19345795530370299</v>
      </c>
      <c r="V61">
        <v>1.1761376503958201</v>
      </c>
      <c r="W61">
        <v>2</v>
      </c>
      <c r="X61">
        <v>167.12940665735701</v>
      </c>
      <c r="Y61">
        <v>1</v>
      </c>
    </row>
    <row r="62" spans="1:25" x14ac:dyDescent="0.25">
      <c r="A62">
        <v>100</v>
      </c>
      <c r="B62">
        <v>2</v>
      </c>
      <c r="C62" s="1">
        <v>1000000</v>
      </c>
      <c r="D62">
        <v>1</v>
      </c>
      <c r="E62">
        <v>0</v>
      </c>
      <c r="F62">
        <v>0.77500000000000002</v>
      </c>
      <c r="G62">
        <v>4.7750000000000004</v>
      </c>
      <c r="H62">
        <v>0.77500000000000002</v>
      </c>
      <c r="I62">
        <v>0</v>
      </c>
      <c r="J62">
        <v>-1.7291048467366801</v>
      </c>
      <c r="K62">
        <v>-1.72385090351732</v>
      </c>
      <c r="L62">
        <v>12.1639954497549</v>
      </c>
      <c r="M62">
        <v>62.195329107070897</v>
      </c>
      <c r="N62">
        <v>0.38121916412648499</v>
      </c>
      <c r="O62">
        <v>4.1887902095084302</v>
      </c>
      <c r="P62">
        <v>-0.88357911122691002</v>
      </c>
      <c r="Q62">
        <v>7.2496276069871604</v>
      </c>
      <c r="R62">
        <v>12.560856088916299</v>
      </c>
      <c r="S62">
        <v>4.1782169225454702</v>
      </c>
      <c r="T62">
        <v>12.5443217540119</v>
      </c>
      <c r="U62">
        <v>0.192077225154652</v>
      </c>
      <c r="V62">
        <v>1.14554132046587</v>
      </c>
      <c r="W62">
        <v>2</v>
      </c>
      <c r="X62">
        <v>177.909279622404</v>
      </c>
      <c r="Y62">
        <v>1</v>
      </c>
    </row>
    <row r="63" spans="1:25" x14ac:dyDescent="0.25">
      <c r="A63">
        <v>100</v>
      </c>
      <c r="B63">
        <v>2</v>
      </c>
      <c r="C63" s="1">
        <v>1000000</v>
      </c>
      <c r="D63">
        <v>1</v>
      </c>
      <c r="E63">
        <v>0</v>
      </c>
      <c r="F63">
        <v>0.8</v>
      </c>
      <c r="G63">
        <v>4.8</v>
      </c>
      <c r="H63">
        <v>0.8</v>
      </c>
      <c r="I63">
        <v>0</v>
      </c>
      <c r="J63">
        <v>-1.6320391776046099</v>
      </c>
      <c r="K63">
        <v>-1.6270903380447801</v>
      </c>
      <c r="L63">
        <v>12.427856073001401</v>
      </c>
      <c r="M63">
        <v>62.422096774942297</v>
      </c>
      <c r="N63">
        <v>0.35520845977097198</v>
      </c>
      <c r="O63">
        <v>4.1887902115836502</v>
      </c>
      <c r="P63">
        <v>-0.824774408614804</v>
      </c>
      <c r="Q63">
        <v>7.0612610161177898</v>
      </c>
      <c r="R63">
        <v>12.560890376675999</v>
      </c>
      <c r="S63">
        <v>3.9639027067194799</v>
      </c>
      <c r="T63">
        <v>12.5444587605047</v>
      </c>
      <c r="U63">
        <v>0.19187963355165599</v>
      </c>
      <c r="V63">
        <v>1.1152789419536</v>
      </c>
      <c r="W63">
        <v>2</v>
      </c>
      <c r="X63">
        <v>177.34171611680799</v>
      </c>
      <c r="Y63">
        <v>1</v>
      </c>
    </row>
    <row r="64" spans="1:25" x14ac:dyDescent="0.25">
      <c r="A64">
        <v>100</v>
      </c>
      <c r="B64">
        <v>2</v>
      </c>
      <c r="C64" s="1">
        <v>1000000</v>
      </c>
      <c r="D64">
        <v>1</v>
      </c>
      <c r="E64">
        <v>0</v>
      </c>
      <c r="F64">
        <v>0.82499999999999996</v>
      </c>
      <c r="G64">
        <v>4.8250000000000002</v>
      </c>
      <c r="H64">
        <v>0.82499999999999996</v>
      </c>
      <c r="I64">
        <v>0</v>
      </c>
      <c r="J64">
        <v>-1.54240594781697</v>
      </c>
      <c r="K64">
        <v>-1.53664023754899</v>
      </c>
      <c r="L64">
        <v>12.677120450114501</v>
      </c>
      <c r="M64">
        <v>62.635601317099599</v>
      </c>
      <c r="N64">
        <v>0.26243501252687601</v>
      </c>
      <c r="O64">
        <v>4.1887902366791696</v>
      </c>
      <c r="P64">
        <v>-0.76805697795545402</v>
      </c>
      <c r="Q64">
        <v>6.8741201744192999</v>
      </c>
      <c r="R64">
        <v>12.5609483503486</v>
      </c>
      <c r="S64">
        <v>3.7566334307170899</v>
      </c>
      <c r="T64">
        <v>12.544690418194399</v>
      </c>
      <c r="U64">
        <v>0.19506562247256101</v>
      </c>
      <c r="V64">
        <v>1.0856732280799299</v>
      </c>
      <c r="W64">
        <v>2</v>
      </c>
      <c r="X64">
        <v>176.68070517744999</v>
      </c>
      <c r="Y64">
        <v>1</v>
      </c>
    </row>
    <row r="65" spans="1:25" x14ac:dyDescent="0.25">
      <c r="A65">
        <v>100</v>
      </c>
      <c r="B65">
        <v>2</v>
      </c>
      <c r="C65" s="1">
        <v>1000000</v>
      </c>
      <c r="D65">
        <v>1</v>
      </c>
      <c r="E65">
        <v>0</v>
      </c>
      <c r="F65">
        <v>0.85</v>
      </c>
      <c r="G65">
        <v>4.8499999999999996</v>
      </c>
      <c r="H65">
        <v>0.85</v>
      </c>
      <c r="I65">
        <v>0</v>
      </c>
      <c r="J65">
        <v>-1.4595312259669899</v>
      </c>
      <c r="K65">
        <v>-1.45337613684643</v>
      </c>
      <c r="L65">
        <v>12.912861363399699</v>
      </c>
      <c r="M65">
        <v>62.837671822168602</v>
      </c>
      <c r="N65">
        <v>0.22815245341056301</v>
      </c>
      <c r="O65">
        <v>4.1887902065004097</v>
      </c>
      <c r="P65">
        <v>-0.71392925399531504</v>
      </c>
      <c r="Q65">
        <v>6.6918419881412099</v>
      </c>
      <c r="R65">
        <v>12.5610644579368</v>
      </c>
      <c r="S65">
        <v>3.5600918477022101</v>
      </c>
      <c r="T65">
        <v>12.545154384394399</v>
      </c>
      <c r="U65">
        <v>0.19938280746305301</v>
      </c>
      <c r="V65">
        <v>1.0561842172188201</v>
      </c>
      <c r="W65">
        <v>2</v>
      </c>
      <c r="X65">
        <v>175.98397078561999</v>
      </c>
      <c r="Y65">
        <v>1</v>
      </c>
    </row>
    <row r="66" spans="1:25" x14ac:dyDescent="0.25">
      <c r="A66">
        <v>100</v>
      </c>
      <c r="B66">
        <v>2</v>
      </c>
      <c r="C66" s="1">
        <v>1000000</v>
      </c>
      <c r="D66">
        <v>1</v>
      </c>
      <c r="E66">
        <v>0</v>
      </c>
      <c r="F66">
        <v>0.875</v>
      </c>
      <c r="G66">
        <v>4.875</v>
      </c>
      <c r="H66">
        <v>0.875</v>
      </c>
      <c r="I66">
        <v>0</v>
      </c>
      <c r="J66">
        <v>-1.3809245206946701</v>
      </c>
      <c r="K66">
        <v>-1.3758916489033599</v>
      </c>
      <c r="L66">
        <v>13.135946765835399</v>
      </c>
      <c r="M66">
        <v>63.028202683394902</v>
      </c>
      <c r="N66">
        <v>0.23304532124584801</v>
      </c>
      <c r="O66">
        <v>4.1887902062720999</v>
      </c>
      <c r="P66">
        <v>-0.66214136431328796</v>
      </c>
      <c r="Q66">
        <v>6.5117449364726596</v>
      </c>
      <c r="R66">
        <v>12.561128976581999</v>
      </c>
      <c r="S66">
        <v>3.37113102109153</v>
      </c>
      <c r="T66">
        <v>12.5454122012752</v>
      </c>
      <c r="U66">
        <v>0.189664600184554</v>
      </c>
      <c r="V66">
        <v>1.0275022092378401</v>
      </c>
      <c r="W66">
        <v>2</v>
      </c>
      <c r="X66">
        <v>175.28613011423599</v>
      </c>
      <c r="Y66">
        <v>1</v>
      </c>
    </row>
    <row r="67" spans="1:25" x14ac:dyDescent="0.25">
      <c r="A67">
        <v>100</v>
      </c>
      <c r="B67">
        <v>2</v>
      </c>
      <c r="C67" s="1">
        <v>1000000</v>
      </c>
      <c r="D67">
        <v>1</v>
      </c>
      <c r="E67">
        <v>0</v>
      </c>
      <c r="F67">
        <v>0.9</v>
      </c>
      <c r="G67">
        <v>4.9000000000000004</v>
      </c>
      <c r="H67">
        <v>0.9</v>
      </c>
      <c r="I67">
        <v>0</v>
      </c>
      <c r="J67">
        <v>-1.30885528173619</v>
      </c>
      <c r="K67">
        <v>-1.3039915250180401</v>
      </c>
      <c r="L67">
        <v>13.347182015331599</v>
      </c>
      <c r="M67">
        <v>63.2084684912911</v>
      </c>
      <c r="N67">
        <v>0.211206337990544</v>
      </c>
      <c r="O67">
        <v>4.1887902065376004</v>
      </c>
      <c r="P67">
        <v>-0.61222459429941201</v>
      </c>
      <c r="Q67">
        <v>6.3356554355070003</v>
      </c>
      <c r="R67">
        <v>12.561191742710401</v>
      </c>
      <c r="S67">
        <v>3.1913415690439901</v>
      </c>
      <c r="T67">
        <v>12.545663008411401</v>
      </c>
      <c r="U67">
        <v>0.197207049472821</v>
      </c>
      <c r="V67">
        <v>0.99907395909339802</v>
      </c>
      <c r="W67">
        <v>2</v>
      </c>
      <c r="X67">
        <v>174.59038101206201</v>
      </c>
      <c r="Y67">
        <v>1</v>
      </c>
    </row>
    <row r="68" spans="1:25" x14ac:dyDescent="0.25">
      <c r="A68">
        <v>100</v>
      </c>
      <c r="B68">
        <v>2</v>
      </c>
      <c r="C68" s="1">
        <v>1000000</v>
      </c>
      <c r="D68">
        <v>1</v>
      </c>
      <c r="E68">
        <v>0</v>
      </c>
      <c r="F68">
        <v>0.92500000000000004</v>
      </c>
      <c r="G68">
        <v>4.9249999999999998</v>
      </c>
      <c r="H68">
        <v>0.92500000000000004</v>
      </c>
      <c r="I68">
        <v>0</v>
      </c>
      <c r="J68">
        <v>-1.24013979944121</v>
      </c>
      <c r="K68">
        <v>-1.23632752691065</v>
      </c>
      <c r="L68">
        <v>13.547271576986599</v>
      </c>
      <c r="M68">
        <v>63.378402138225297</v>
      </c>
      <c r="N68">
        <v>0.29725719201199302</v>
      </c>
      <c r="O68">
        <v>4.1887902056861099</v>
      </c>
      <c r="P68">
        <v>-0.56415145074010198</v>
      </c>
      <c r="Q68">
        <v>6.1597873513454697</v>
      </c>
      <c r="R68">
        <v>12.5612377245097</v>
      </c>
      <c r="S68">
        <v>3.0166874678819799</v>
      </c>
      <c r="T68">
        <v>12.545846739938799</v>
      </c>
      <c r="U68">
        <v>0.20455195395911099</v>
      </c>
      <c r="V68">
        <v>0.97099018114476099</v>
      </c>
      <c r="W68">
        <v>2</v>
      </c>
      <c r="X68">
        <v>173.92614576094701</v>
      </c>
      <c r="Y68">
        <v>1</v>
      </c>
    </row>
    <row r="69" spans="1:25" x14ac:dyDescent="0.25">
      <c r="A69">
        <v>100</v>
      </c>
      <c r="B69">
        <v>2</v>
      </c>
      <c r="C69" s="1">
        <v>1000000</v>
      </c>
      <c r="D69">
        <v>1</v>
      </c>
      <c r="E69">
        <v>0</v>
      </c>
      <c r="F69">
        <v>0.95</v>
      </c>
      <c r="G69">
        <v>4.95</v>
      </c>
      <c r="H69">
        <v>0.95</v>
      </c>
      <c r="I69">
        <v>0</v>
      </c>
      <c r="J69">
        <v>-1.17439813110859</v>
      </c>
      <c r="K69">
        <v>-1.1709002413551599</v>
      </c>
      <c r="L69">
        <v>13.7368036747931</v>
      </c>
      <c r="M69">
        <v>63.537806894686</v>
      </c>
      <c r="N69">
        <v>0.16191746439097601</v>
      </c>
      <c r="O69">
        <v>4.1887902048892602</v>
      </c>
      <c r="P69">
        <v>-0.51659222017194495</v>
      </c>
      <c r="Q69">
        <v>5.9793342848164803</v>
      </c>
      <c r="R69">
        <v>12.5612625288862</v>
      </c>
      <c r="S69">
        <v>2.84264526985719</v>
      </c>
      <c r="T69">
        <v>12.545945850030099</v>
      </c>
      <c r="U69">
        <v>0.20553363575514799</v>
      </c>
      <c r="V69">
        <v>0.94149728678820499</v>
      </c>
      <c r="W69">
        <v>2</v>
      </c>
      <c r="X69">
        <v>173.170778847652</v>
      </c>
      <c r="Y69">
        <v>1</v>
      </c>
    </row>
    <row r="70" spans="1:25" x14ac:dyDescent="0.25">
      <c r="A70">
        <v>100</v>
      </c>
      <c r="B70">
        <v>2</v>
      </c>
      <c r="C70" s="1">
        <v>1000000</v>
      </c>
      <c r="D70">
        <v>1</v>
      </c>
      <c r="E70">
        <v>0</v>
      </c>
      <c r="F70">
        <v>0.97499999999999998</v>
      </c>
      <c r="G70">
        <v>4.9749999999999996</v>
      </c>
      <c r="H70">
        <v>0.97499999999999998</v>
      </c>
      <c r="I70">
        <v>0</v>
      </c>
      <c r="J70">
        <v>-1.1117615840300099</v>
      </c>
      <c r="K70">
        <v>-1.1094920925523599</v>
      </c>
      <c r="L70">
        <v>13.914840789389199</v>
      </c>
      <c r="M70">
        <v>63.687284108482999</v>
      </c>
      <c r="N70">
        <v>0.40748105448130101</v>
      </c>
      <c r="O70">
        <v>4.1887902044023004</v>
      </c>
      <c r="P70">
        <v>-0.469153615793024</v>
      </c>
      <c r="Q70">
        <v>5.8030986537305003</v>
      </c>
      <c r="R70">
        <v>12.561288407231901</v>
      </c>
      <c r="S70">
        <v>2.6776045763710798</v>
      </c>
      <c r="T70">
        <v>12.546049264842701</v>
      </c>
      <c r="U70">
        <v>-7.6502879556823805E-2</v>
      </c>
      <c r="V70">
        <v>0.91345348178460595</v>
      </c>
      <c r="W70">
        <v>2</v>
      </c>
      <c r="X70">
        <v>172.66657690846301</v>
      </c>
      <c r="Y70">
        <v>1</v>
      </c>
    </row>
    <row r="71" spans="1:25" x14ac:dyDescent="0.25">
      <c r="A71">
        <v>100</v>
      </c>
      <c r="B71">
        <v>2</v>
      </c>
      <c r="C71" s="1">
        <v>1000000</v>
      </c>
      <c r="D71">
        <v>1</v>
      </c>
      <c r="E71">
        <v>0</v>
      </c>
      <c r="F71">
        <v>1</v>
      </c>
      <c r="G71">
        <v>5</v>
      </c>
      <c r="H71">
        <v>1</v>
      </c>
      <c r="I71">
        <v>0</v>
      </c>
      <c r="J71">
        <v>-1.05081150698794</v>
      </c>
      <c r="K71">
        <v>-1.04675020581053</v>
      </c>
      <c r="L71">
        <v>14.0845019957963</v>
      </c>
      <c r="M71">
        <v>63.826505253191002</v>
      </c>
      <c r="N71">
        <v>0.383425994525737</v>
      </c>
      <c r="O71">
        <v>4.1887901562835497</v>
      </c>
      <c r="P71">
        <v>-0.42049227338383499</v>
      </c>
      <c r="Q71">
        <v>5.6099975531203103</v>
      </c>
      <c r="R71">
        <v>12.561294125555801</v>
      </c>
      <c r="S71">
        <v>2.5022015750170699</v>
      </c>
      <c r="T71">
        <v>12.5460721100313</v>
      </c>
      <c r="U71">
        <v>-0.28077173637605402</v>
      </c>
      <c r="V71">
        <v>0.88341698672694302</v>
      </c>
      <c r="W71">
        <v>2</v>
      </c>
      <c r="X71">
        <v>171.71390849247501</v>
      </c>
      <c r="Y71">
        <v>1</v>
      </c>
    </row>
    <row r="72" spans="1:25" x14ac:dyDescent="0.25">
      <c r="A72">
        <v>100</v>
      </c>
      <c r="B72">
        <v>2</v>
      </c>
      <c r="C72" s="1">
        <v>1000000</v>
      </c>
      <c r="D72">
        <v>1</v>
      </c>
      <c r="E72">
        <v>0</v>
      </c>
      <c r="F72">
        <v>1.0249999999999999</v>
      </c>
      <c r="G72">
        <v>5.0250000000000004</v>
      </c>
      <c r="H72">
        <v>1.0249999999999999</v>
      </c>
      <c r="I72">
        <v>0</v>
      </c>
      <c r="J72">
        <v>-0.99392820604366605</v>
      </c>
      <c r="K72">
        <v>-0.99066561221118499</v>
      </c>
      <c r="L72">
        <v>14.245509846204399</v>
      </c>
      <c r="M72">
        <v>63.959776313887097</v>
      </c>
      <c r="N72">
        <v>0.45625276346080301</v>
      </c>
      <c r="O72">
        <v>4.1887901935820704</v>
      </c>
      <c r="P72">
        <v>-0.375233016478835</v>
      </c>
      <c r="Q72">
        <v>5.42801129085246</v>
      </c>
      <c r="R72">
        <v>12.561295989010301</v>
      </c>
      <c r="S72">
        <v>2.3425124594643898</v>
      </c>
      <c r="T72">
        <v>12.546079553895799</v>
      </c>
      <c r="U72">
        <v>-0.26693543738743603</v>
      </c>
      <c r="V72">
        <v>0.85448858448068798</v>
      </c>
      <c r="W72">
        <v>2</v>
      </c>
      <c r="X72">
        <v>170.88229779960599</v>
      </c>
      <c r="Y72">
        <v>1</v>
      </c>
    </row>
    <row r="73" spans="1:25" x14ac:dyDescent="0.25">
      <c r="A73">
        <v>100</v>
      </c>
      <c r="B73">
        <v>2</v>
      </c>
      <c r="C73" s="1">
        <v>1000000</v>
      </c>
      <c r="D73">
        <v>1</v>
      </c>
      <c r="E73">
        <v>0</v>
      </c>
      <c r="F73">
        <v>1.05</v>
      </c>
      <c r="G73">
        <v>5.05</v>
      </c>
      <c r="H73">
        <v>1.05</v>
      </c>
      <c r="I73">
        <v>0</v>
      </c>
      <c r="J73">
        <v>-0.93868073830229204</v>
      </c>
      <c r="K73">
        <v>-0.93585046962135099</v>
      </c>
      <c r="L73">
        <v>14.397446505408</v>
      </c>
      <c r="M73">
        <v>64.083966598209599</v>
      </c>
      <c r="N73">
        <v>0.35851783833964501</v>
      </c>
      <c r="O73">
        <v>4.18879011588196</v>
      </c>
      <c r="P73">
        <v>-0.32993650809811698</v>
      </c>
      <c r="Q73">
        <v>5.2395663127340404</v>
      </c>
      <c r="R73">
        <v>12.561298932245499</v>
      </c>
      <c r="S73">
        <v>2.1827120538772302</v>
      </c>
      <c r="T73">
        <v>12.5460913111681</v>
      </c>
      <c r="U73">
        <v>-0.26784558340618703</v>
      </c>
      <c r="V73">
        <v>0.82416074460359201</v>
      </c>
      <c r="W73">
        <v>2</v>
      </c>
      <c r="X73">
        <v>169.98039340832901</v>
      </c>
      <c r="Y73">
        <v>1</v>
      </c>
    </row>
    <row r="74" spans="1:25" x14ac:dyDescent="0.25">
      <c r="A74">
        <v>100</v>
      </c>
      <c r="B74">
        <v>2</v>
      </c>
      <c r="C74" s="1">
        <v>1000000</v>
      </c>
      <c r="D74">
        <v>1</v>
      </c>
      <c r="E74">
        <v>0</v>
      </c>
      <c r="F74">
        <v>1.075</v>
      </c>
      <c r="G74">
        <v>5.0750000000000002</v>
      </c>
      <c r="H74">
        <v>1.075</v>
      </c>
      <c r="I74">
        <v>0</v>
      </c>
      <c r="J74">
        <v>-0.88580248652276405</v>
      </c>
      <c r="K74">
        <v>-0.88703365652997201</v>
      </c>
      <c r="L74">
        <v>14.541160598595701</v>
      </c>
      <c r="M74">
        <v>64.202864699378196</v>
      </c>
      <c r="N74">
        <v>0.45457321178832699</v>
      </c>
      <c r="O74">
        <v>4.1887902010610496</v>
      </c>
      <c r="P74">
        <v>-0.28711210637960799</v>
      </c>
      <c r="Q74">
        <v>5.0647733959297501</v>
      </c>
      <c r="R74">
        <v>12.5613127225905</v>
      </c>
      <c r="S74">
        <v>2.03951250090131</v>
      </c>
      <c r="T74">
        <v>12.5461464009352</v>
      </c>
      <c r="U74">
        <v>-0.26589702960309702</v>
      </c>
      <c r="V74">
        <v>0.795622347887325</v>
      </c>
      <c r="W74">
        <v>2</v>
      </c>
      <c r="X74">
        <v>169.21024110379301</v>
      </c>
      <c r="Y74">
        <v>1</v>
      </c>
    </row>
    <row r="75" spans="1:25" x14ac:dyDescent="0.25">
      <c r="A75">
        <v>100</v>
      </c>
      <c r="B75">
        <v>2</v>
      </c>
      <c r="C75" s="1">
        <v>1000000</v>
      </c>
      <c r="D75">
        <v>1</v>
      </c>
      <c r="E75">
        <v>0</v>
      </c>
      <c r="F75">
        <v>1.1000000000000001</v>
      </c>
      <c r="G75">
        <v>5.0999999999999996</v>
      </c>
      <c r="H75">
        <v>1.1000000000000001</v>
      </c>
      <c r="I75">
        <v>0</v>
      </c>
      <c r="J75">
        <v>-0.82951064025483001</v>
      </c>
      <c r="K75">
        <v>-0.825794545317179</v>
      </c>
      <c r="L75">
        <v>14.6764791497096</v>
      </c>
      <c r="M75">
        <v>64.305623394560399</v>
      </c>
      <c r="N75">
        <v>0.34506975538129298</v>
      </c>
      <c r="O75">
        <v>4.1887902021477101</v>
      </c>
      <c r="P75">
        <v>-0.23505150593492799</v>
      </c>
      <c r="Q75">
        <v>4.8266385438568102</v>
      </c>
      <c r="R75">
        <v>12.5613200144691</v>
      </c>
      <c r="S75">
        <v>1.8519732225358201</v>
      </c>
      <c r="T75">
        <v>12.546175531575599</v>
      </c>
      <c r="U75">
        <v>-0.21991914810719601</v>
      </c>
      <c r="V75">
        <v>0.75849527597904998</v>
      </c>
      <c r="W75">
        <v>2</v>
      </c>
      <c r="X75">
        <v>167.88604286894301</v>
      </c>
      <c r="Y75">
        <v>1</v>
      </c>
    </row>
    <row r="76" spans="1:25" x14ac:dyDescent="0.25">
      <c r="A76">
        <v>100</v>
      </c>
      <c r="B76">
        <v>2</v>
      </c>
      <c r="C76" s="1">
        <v>1000000</v>
      </c>
      <c r="D76">
        <v>1</v>
      </c>
      <c r="E76">
        <v>0</v>
      </c>
      <c r="F76">
        <v>1.125</v>
      </c>
      <c r="G76">
        <v>5.125</v>
      </c>
      <c r="H76">
        <v>1.125</v>
      </c>
      <c r="I76">
        <v>0</v>
      </c>
      <c r="J76">
        <v>-1.66793699018904</v>
      </c>
      <c r="K76">
        <v>0</v>
      </c>
      <c r="L76">
        <v>14.914019140552099</v>
      </c>
      <c r="M76">
        <v>64.221627075919997</v>
      </c>
      <c r="N76">
        <v>2.9521880153393701E-3</v>
      </c>
      <c r="O76">
        <v>4.1887902047812604</v>
      </c>
      <c r="P76">
        <v>0.475531997112424</v>
      </c>
      <c r="Q76">
        <v>0.15226589879892299</v>
      </c>
      <c r="R76">
        <v>12.561324044351499</v>
      </c>
      <c r="S76">
        <v>1.83684564477234E-3</v>
      </c>
      <c r="T76">
        <v>12.5461916311025</v>
      </c>
      <c r="U76">
        <v>-7.6593959350503898E-3</v>
      </c>
      <c r="V76">
        <v>8.9278116187688807E-3</v>
      </c>
      <c r="W76">
        <v>2</v>
      </c>
      <c r="X76">
        <v>148.82256718872199</v>
      </c>
      <c r="Y76">
        <v>1</v>
      </c>
    </row>
    <row r="77" spans="1:25" x14ac:dyDescent="0.25">
      <c r="A77">
        <v>100</v>
      </c>
      <c r="B77">
        <v>2</v>
      </c>
      <c r="C77" s="1">
        <v>1000000</v>
      </c>
      <c r="D77">
        <v>1</v>
      </c>
      <c r="E77">
        <v>0</v>
      </c>
      <c r="F77">
        <v>1.1499999999999999</v>
      </c>
      <c r="G77">
        <v>5.15</v>
      </c>
      <c r="H77">
        <v>1.1499999999999999</v>
      </c>
      <c r="I77">
        <v>0</v>
      </c>
      <c r="J77">
        <v>-6.8748701845728497E-2</v>
      </c>
      <c r="K77">
        <v>-1.0630931154807901E-2</v>
      </c>
      <c r="L77">
        <v>14.919681433586801</v>
      </c>
      <c r="M77">
        <v>64.226693576231597</v>
      </c>
      <c r="N77">
        <v>0</v>
      </c>
      <c r="O77">
        <v>4.1887902047863399</v>
      </c>
      <c r="P77">
        <v>0.45824790347001398</v>
      </c>
      <c r="Q77">
        <v>6.79952760049993E-2</v>
      </c>
      <c r="R77">
        <v>12.5613245703879</v>
      </c>
      <c r="S77">
        <v>3.6260841161109199E-4</v>
      </c>
      <c r="T77">
        <v>12.546193732735601</v>
      </c>
      <c r="U77">
        <v>-1.3626397031854301E-2</v>
      </c>
      <c r="V77">
        <v>1.0328465076651999E-2</v>
      </c>
      <c r="W77">
        <v>2</v>
      </c>
      <c r="X77">
        <v>149.33287617023001</v>
      </c>
      <c r="Y77">
        <v>1</v>
      </c>
    </row>
    <row r="78" spans="1:25" x14ac:dyDescent="0.25">
      <c r="A78">
        <v>100</v>
      </c>
      <c r="B78">
        <v>2</v>
      </c>
      <c r="C78" s="1">
        <v>1000000</v>
      </c>
      <c r="D78">
        <v>1</v>
      </c>
      <c r="E78">
        <v>0</v>
      </c>
      <c r="F78">
        <v>1.175</v>
      </c>
      <c r="G78">
        <v>5.1749999999999998</v>
      </c>
      <c r="H78">
        <v>1.175</v>
      </c>
      <c r="I78">
        <v>0</v>
      </c>
      <c r="J78">
        <v>-1.3223226891572499</v>
      </c>
      <c r="K78">
        <v>0</v>
      </c>
      <c r="L78">
        <v>14.925606529243501</v>
      </c>
      <c r="M78">
        <v>64.232226796665103</v>
      </c>
      <c r="N78">
        <v>2.0377214310391299E-3</v>
      </c>
      <c r="O78">
        <v>4.1887902047861196</v>
      </c>
      <c r="P78">
        <v>0.44050440370777399</v>
      </c>
      <c r="Q78">
        <v>0.95576897153514695</v>
      </c>
      <c r="R78">
        <v>12.5613246110596</v>
      </c>
      <c r="S78">
        <v>1.7792318278847001E-4</v>
      </c>
      <c r="T78">
        <v>12.546193895226899</v>
      </c>
      <c r="U78">
        <v>-8.7555003998866301E-3</v>
      </c>
      <c r="V78">
        <v>8.4717988517489496E-4</v>
      </c>
      <c r="W78">
        <v>2</v>
      </c>
      <c r="X78">
        <v>149.95665217321201</v>
      </c>
      <c r="Y78">
        <v>1</v>
      </c>
    </row>
    <row r="79" spans="1:25" x14ac:dyDescent="0.25">
      <c r="A79">
        <v>100</v>
      </c>
      <c r="B79">
        <v>2</v>
      </c>
      <c r="C79" s="1">
        <v>1000000</v>
      </c>
      <c r="D79">
        <v>1</v>
      </c>
      <c r="E79">
        <v>0</v>
      </c>
      <c r="F79">
        <v>1.2</v>
      </c>
      <c r="G79">
        <v>5.2</v>
      </c>
      <c r="H79">
        <v>1.2</v>
      </c>
      <c r="I79">
        <v>0</v>
      </c>
      <c r="J79">
        <v>-0.12522466731429699</v>
      </c>
      <c r="K79">
        <v>0</v>
      </c>
      <c r="L79">
        <v>14.9474025193733</v>
      </c>
      <c r="M79">
        <v>64.253533053986004</v>
      </c>
      <c r="N79">
        <v>1.84117125236682E-4</v>
      </c>
      <c r="O79">
        <v>4.1887902047863204</v>
      </c>
      <c r="P79">
        <v>0.45397959879449601</v>
      </c>
      <c r="Q79">
        <v>0.59038620513263795</v>
      </c>
      <c r="R79">
        <v>12.561324618490101</v>
      </c>
      <c r="S79">
        <v>3.3138061046303103E-4</v>
      </c>
      <c r="T79">
        <v>12.5461939249131</v>
      </c>
      <c r="U79">
        <v>-8.7217125524924992E-3</v>
      </c>
      <c r="V79">
        <v>1.19702021750475E-4</v>
      </c>
      <c r="W79">
        <v>2</v>
      </c>
      <c r="X79">
        <v>149.211376345871</v>
      </c>
      <c r="Y79">
        <v>1</v>
      </c>
    </row>
    <row r="80" spans="1:25" x14ac:dyDescent="0.25">
      <c r="A80">
        <v>100</v>
      </c>
      <c r="B80">
        <v>2</v>
      </c>
      <c r="C80" s="1">
        <v>1000000</v>
      </c>
      <c r="D80">
        <v>1</v>
      </c>
      <c r="E80">
        <v>0</v>
      </c>
      <c r="F80">
        <v>1.2250000000000001</v>
      </c>
      <c r="G80">
        <v>5.2249999999999996</v>
      </c>
      <c r="H80">
        <v>1.2250000000000001</v>
      </c>
      <c r="I80">
        <v>0</v>
      </c>
      <c r="J80">
        <v>-0.17010997003245201</v>
      </c>
      <c r="K80">
        <v>0</v>
      </c>
      <c r="L80">
        <v>14.9735350172646</v>
      </c>
      <c r="M80">
        <v>64.2788004626521</v>
      </c>
      <c r="N80">
        <v>2.2796862173973399E-4</v>
      </c>
      <c r="O80">
        <v>4.1887902047863097</v>
      </c>
      <c r="P80">
        <v>0.43452322103831098</v>
      </c>
      <c r="Q80">
        <v>0.29879580695756902</v>
      </c>
      <c r="R80">
        <v>12.5613246216743</v>
      </c>
      <c r="S80" s="1">
        <v>2.0027909723140701E-5</v>
      </c>
      <c r="T80">
        <v>12.5461939376343</v>
      </c>
      <c r="U80">
        <v>-1.43820307111501E-3</v>
      </c>
      <c r="V80" s="1">
        <v>7.3963007079265407E-5</v>
      </c>
      <c r="W80">
        <v>2</v>
      </c>
      <c r="X80">
        <v>149.92808965784201</v>
      </c>
      <c r="Y80">
        <v>1</v>
      </c>
    </row>
    <row r="81" spans="1:25" x14ac:dyDescent="0.25">
      <c r="A81">
        <v>100</v>
      </c>
      <c r="B81">
        <v>2</v>
      </c>
      <c r="C81" s="1">
        <v>1000000</v>
      </c>
      <c r="D81">
        <v>1</v>
      </c>
      <c r="E81">
        <v>0</v>
      </c>
      <c r="F81">
        <v>1.25</v>
      </c>
      <c r="G81">
        <v>5.25</v>
      </c>
      <c r="H81">
        <v>1.25</v>
      </c>
      <c r="I81">
        <v>0</v>
      </c>
      <c r="J81">
        <v>-0.12318765618954799</v>
      </c>
      <c r="K81">
        <v>0</v>
      </c>
      <c r="L81">
        <v>15.0384284670006</v>
      </c>
      <c r="M81">
        <v>64.343021500476397</v>
      </c>
      <c r="N81" s="1">
        <v>2.4372565632722199E-5</v>
      </c>
      <c r="O81">
        <v>4.1887902047863301</v>
      </c>
      <c r="P81">
        <v>0.38697601497005601</v>
      </c>
      <c r="Q81">
        <v>5.90581988791321E-2</v>
      </c>
      <c r="R81">
        <v>12.5613246237289</v>
      </c>
      <c r="S81" s="1">
        <v>2.05996854095724E-6</v>
      </c>
      <c r="T81">
        <v>12.546193945842999</v>
      </c>
      <c r="U81">
        <v>-4.2053641034158699E-2</v>
      </c>
      <c r="V81" s="1">
        <v>7.4077289495830807E-5</v>
      </c>
      <c r="W81">
        <v>2</v>
      </c>
      <c r="X81">
        <v>151.628861895021</v>
      </c>
      <c r="Y81">
        <v>1</v>
      </c>
    </row>
    <row r="82" spans="1:25" x14ac:dyDescent="0.25">
      <c r="A82">
        <v>100</v>
      </c>
      <c r="B82">
        <v>2</v>
      </c>
      <c r="C82" s="1">
        <v>1000000</v>
      </c>
      <c r="D82">
        <v>1</v>
      </c>
      <c r="E82">
        <v>0</v>
      </c>
      <c r="F82">
        <v>1.2749999999999999</v>
      </c>
      <c r="G82">
        <v>5.2750000000000004</v>
      </c>
      <c r="H82">
        <v>1.2749999999999999</v>
      </c>
      <c r="I82">
        <v>0</v>
      </c>
      <c r="J82">
        <v>-0.526512036145803</v>
      </c>
      <c r="K82">
        <v>0</v>
      </c>
      <c r="L82">
        <v>15.02328264931</v>
      </c>
      <c r="M82">
        <v>64.327661236685003</v>
      </c>
      <c r="N82">
        <v>6.4394156533330704E-3</v>
      </c>
      <c r="O82">
        <v>4.1887902053809496</v>
      </c>
      <c r="P82">
        <v>0.41012269908872301</v>
      </c>
      <c r="Q82">
        <v>0.27003120531887198</v>
      </c>
      <c r="R82">
        <v>12.561324623299701</v>
      </c>
      <c r="S82">
        <v>-1.16859324941588E-4</v>
      </c>
      <c r="T82">
        <v>12.546193944128399</v>
      </c>
      <c r="U82">
        <v>-1.4401229801566801E-2</v>
      </c>
      <c r="V82">
        <v>3.5378245089246699E-4</v>
      </c>
      <c r="W82">
        <v>2</v>
      </c>
      <c r="X82">
        <v>150.75607318848901</v>
      </c>
      <c r="Y82">
        <v>1</v>
      </c>
    </row>
    <row r="83" spans="1:25" x14ac:dyDescent="0.25">
      <c r="A83">
        <v>100</v>
      </c>
      <c r="B83">
        <v>2</v>
      </c>
      <c r="C83" s="1">
        <v>1000000</v>
      </c>
      <c r="D83">
        <v>1</v>
      </c>
      <c r="E83">
        <v>0</v>
      </c>
      <c r="F83">
        <v>1.3</v>
      </c>
      <c r="G83">
        <v>5.3</v>
      </c>
      <c r="H83">
        <v>1.3</v>
      </c>
      <c r="I83">
        <v>0</v>
      </c>
      <c r="J83">
        <v>-6.8969639995503304E-2</v>
      </c>
      <c r="K83">
        <v>0</v>
      </c>
      <c r="L83">
        <v>14.9082904904883</v>
      </c>
      <c r="M83">
        <v>64.212100971862</v>
      </c>
      <c r="N83" s="1">
        <v>3.2477186596336501E-5</v>
      </c>
      <c r="O83">
        <v>4.1887902047863204</v>
      </c>
      <c r="P83">
        <v>0.45305647025041901</v>
      </c>
      <c r="Q83">
        <v>8.4369030289594096E-2</v>
      </c>
      <c r="R83">
        <v>12.5613246074243</v>
      </c>
      <c r="S83" s="1">
        <v>1.5353055059864E-6</v>
      </c>
      <c r="T83">
        <v>12.5461938807031</v>
      </c>
      <c r="U83">
        <v>8.5904427210100592E-3</v>
      </c>
      <c r="V83">
        <v>2.96110115590146E-4</v>
      </c>
      <c r="W83">
        <v>2</v>
      </c>
      <c r="X83">
        <v>149.664481129427</v>
      </c>
      <c r="Y83">
        <v>1</v>
      </c>
    </row>
    <row r="84" spans="1:25" x14ac:dyDescent="0.25">
      <c r="A84">
        <v>110</v>
      </c>
      <c r="B84">
        <v>2</v>
      </c>
      <c r="C84" s="1">
        <v>1000000</v>
      </c>
      <c r="D84">
        <v>1</v>
      </c>
      <c r="E84">
        <v>0</v>
      </c>
      <c r="F84">
        <v>0.3</v>
      </c>
      <c r="G84">
        <v>4.3</v>
      </c>
      <c r="H84">
        <v>0.3</v>
      </c>
      <c r="I84">
        <v>0</v>
      </c>
      <c r="J84">
        <v>1.77544456271435</v>
      </c>
      <c r="K84">
        <v>1.7752419126224099</v>
      </c>
      <c r="L84">
        <v>0.52679615474933905</v>
      </c>
      <c r="M84">
        <v>54.974246125835897</v>
      </c>
      <c r="N84">
        <v>1.3162084053205399E-2</v>
      </c>
      <c r="O84">
        <v>4.1887902048088401</v>
      </c>
      <c r="P84">
        <v>1.60191091505108</v>
      </c>
      <c r="Q84">
        <v>13.7476991055421</v>
      </c>
      <c r="R84">
        <v>12.561324417214101</v>
      </c>
      <c r="S84">
        <v>15.0275430912922</v>
      </c>
      <c r="T84">
        <v>12.5461931207806</v>
      </c>
      <c r="U84">
        <v>3.4377918191200903E-2</v>
      </c>
      <c r="V84">
        <v>2</v>
      </c>
      <c r="W84">
        <v>2.1897000000000002</v>
      </c>
      <c r="X84">
        <v>46.442835570513601</v>
      </c>
      <c r="Y84">
        <v>1</v>
      </c>
    </row>
    <row r="85" spans="1:25" x14ac:dyDescent="0.25">
      <c r="A85">
        <v>110</v>
      </c>
      <c r="B85">
        <v>2</v>
      </c>
      <c r="C85" s="1">
        <v>1000000</v>
      </c>
      <c r="D85">
        <v>1</v>
      </c>
      <c r="E85">
        <v>0</v>
      </c>
      <c r="F85">
        <v>0.32500000000000001</v>
      </c>
      <c r="G85">
        <v>4.3250000000000002</v>
      </c>
      <c r="H85">
        <v>0.32500000000000001</v>
      </c>
      <c r="I85">
        <v>0</v>
      </c>
      <c r="J85">
        <v>-2.71088127100706</v>
      </c>
      <c r="K85">
        <v>-2.7116323910802902</v>
      </c>
      <c r="L85">
        <v>0.597213094856057</v>
      </c>
      <c r="M85">
        <v>54.499040254409103</v>
      </c>
      <c r="N85">
        <v>4.1524657143469E-2</v>
      </c>
      <c r="O85">
        <v>4.1887902047861898</v>
      </c>
      <c r="P85">
        <v>-0.359143213547993</v>
      </c>
      <c r="Q85">
        <v>12.9974192145296</v>
      </c>
      <c r="R85">
        <v>12.5613226507653</v>
      </c>
      <c r="S85">
        <v>13.432273508096699</v>
      </c>
      <c r="T85">
        <v>12.546186063406299</v>
      </c>
      <c r="U85">
        <v>4.9674150445329197E-2</v>
      </c>
      <c r="V85">
        <v>2</v>
      </c>
      <c r="W85">
        <v>2.0701299999999998</v>
      </c>
      <c r="X85">
        <v>84.681848917881496</v>
      </c>
      <c r="Y85">
        <v>1</v>
      </c>
    </row>
    <row r="86" spans="1:25" x14ac:dyDescent="0.25">
      <c r="A86">
        <v>110</v>
      </c>
      <c r="B86">
        <v>2</v>
      </c>
      <c r="C86" s="1">
        <v>1000000</v>
      </c>
      <c r="D86">
        <v>1</v>
      </c>
      <c r="E86">
        <v>0</v>
      </c>
      <c r="F86">
        <v>0.35</v>
      </c>
      <c r="G86">
        <v>4.3499999999999996</v>
      </c>
      <c r="H86">
        <v>0.35</v>
      </c>
      <c r="I86">
        <v>0</v>
      </c>
      <c r="J86">
        <v>-5.71758107121184</v>
      </c>
      <c r="K86">
        <v>-5.7145865136242699</v>
      </c>
      <c r="L86">
        <v>1.29364258340758</v>
      </c>
      <c r="M86">
        <v>54.728101815097901</v>
      </c>
      <c r="N86">
        <v>5.52750325345088E-2</v>
      </c>
      <c r="O86">
        <v>4.1887902045138103</v>
      </c>
      <c r="P86">
        <v>-2.0164149523476098</v>
      </c>
      <c r="Q86">
        <v>12.3189486277575</v>
      </c>
      <c r="R86">
        <v>12.5613165413088</v>
      </c>
      <c r="S86">
        <v>12.065860188816901</v>
      </c>
      <c r="T86">
        <v>12.546161654620599</v>
      </c>
      <c r="U86">
        <v>6.6424493160151907E-2</v>
      </c>
      <c r="V86">
        <v>1.93505109633061</v>
      </c>
      <c r="W86">
        <v>2</v>
      </c>
      <c r="X86">
        <v>118.860963057939</v>
      </c>
      <c r="Y86">
        <v>1</v>
      </c>
    </row>
    <row r="87" spans="1:25" x14ac:dyDescent="0.25">
      <c r="A87">
        <v>110</v>
      </c>
      <c r="B87">
        <v>2</v>
      </c>
      <c r="C87" s="1">
        <v>1000000</v>
      </c>
      <c r="D87">
        <v>1</v>
      </c>
      <c r="E87">
        <v>0</v>
      </c>
      <c r="F87">
        <v>0.375</v>
      </c>
      <c r="G87">
        <v>4.375</v>
      </c>
      <c r="H87">
        <v>0.375</v>
      </c>
      <c r="I87">
        <v>0</v>
      </c>
      <c r="J87">
        <v>-6.4151996027398397</v>
      </c>
      <c r="K87">
        <v>-6.4160783418258003</v>
      </c>
      <c r="L87">
        <v>2.2663807151753201</v>
      </c>
      <c r="M87">
        <v>55.334352202636403</v>
      </c>
      <c r="N87">
        <v>3.4478804806248799E-2</v>
      </c>
      <c r="O87">
        <v>4.1887902049375203</v>
      </c>
      <c r="P87">
        <v>-2.6615995936968102</v>
      </c>
      <c r="Q87">
        <v>11.7592506941</v>
      </c>
      <c r="R87">
        <v>12.5612916804017</v>
      </c>
      <c r="S87">
        <v>10.994639514206799</v>
      </c>
      <c r="T87">
        <v>12.546062327525901</v>
      </c>
      <c r="U87">
        <v>7.6828563853111001E-2</v>
      </c>
      <c r="V87">
        <v>1.8496498058783699</v>
      </c>
      <c r="W87">
        <v>2</v>
      </c>
      <c r="X87">
        <v>142.842063591623</v>
      </c>
      <c r="Y87">
        <v>1</v>
      </c>
    </row>
    <row r="88" spans="1:25" x14ac:dyDescent="0.25">
      <c r="A88">
        <v>110</v>
      </c>
      <c r="B88">
        <v>2</v>
      </c>
      <c r="C88" s="1">
        <v>1000000</v>
      </c>
      <c r="D88">
        <v>1</v>
      </c>
      <c r="E88">
        <v>0</v>
      </c>
      <c r="F88">
        <v>0.4</v>
      </c>
      <c r="G88">
        <v>4.4000000000000004</v>
      </c>
      <c r="H88">
        <v>0.4</v>
      </c>
      <c r="I88">
        <v>0</v>
      </c>
      <c r="J88">
        <v>-6.1537837821491701</v>
      </c>
      <c r="K88">
        <v>-6.1454393012715904</v>
      </c>
      <c r="L88">
        <v>3.2609531099341398</v>
      </c>
      <c r="M88">
        <v>56.036979709888499</v>
      </c>
      <c r="N88">
        <v>6.9084935818253701E-2</v>
      </c>
      <c r="O88">
        <v>4.1887902028261399</v>
      </c>
      <c r="P88">
        <v>-2.7610373668935702</v>
      </c>
      <c r="Q88">
        <v>11.2936728879229</v>
      </c>
      <c r="R88">
        <v>12.5612764637892</v>
      </c>
      <c r="S88">
        <v>10.141243717054699</v>
      </c>
      <c r="T88">
        <v>12.5460015293843</v>
      </c>
      <c r="U88">
        <v>8.6189922272943101E-2</v>
      </c>
      <c r="V88">
        <v>1.776256235655</v>
      </c>
      <c r="W88">
        <v>2</v>
      </c>
      <c r="X88">
        <v>156.95501980354601</v>
      </c>
      <c r="Y88">
        <v>1</v>
      </c>
    </row>
    <row r="89" spans="1:25" x14ac:dyDescent="0.25">
      <c r="A89">
        <v>110</v>
      </c>
      <c r="B89">
        <v>2</v>
      </c>
      <c r="C89" s="1">
        <v>1000000</v>
      </c>
      <c r="D89">
        <v>1</v>
      </c>
      <c r="E89">
        <v>0</v>
      </c>
      <c r="F89">
        <v>0.42499999999999999</v>
      </c>
      <c r="G89">
        <v>4.4249999999999998</v>
      </c>
      <c r="H89">
        <v>0.42499999999999999</v>
      </c>
      <c r="I89">
        <v>0</v>
      </c>
      <c r="J89">
        <v>-5.6311884262834502</v>
      </c>
      <c r="K89">
        <v>-5.6230325983730296</v>
      </c>
      <c r="L89">
        <v>4.1866445081200396</v>
      </c>
      <c r="M89">
        <v>56.723580326204299</v>
      </c>
      <c r="N89">
        <v>0.14530470332496101</v>
      </c>
      <c r="O89">
        <v>4.1887901949643798</v>
      </c>
      <c r="P89">
        <v>-2.6571520361401499</v>
      </c>
      <c r="Q89">
        <v>10.897823402146001</v>
      </c>
      <c r="R89">
        <v>12.5612573980865</v>
      </c>
      <c r="S89">
        <v>9.4424222735523209</v>
      </c>
      <c r="T89">
        <v>12.545925348879001</v>
      </c>
      <c r="U89">
        <v>0.107804858633729</v>
      </c>
      <c r="V89">
        <v>1.7131348702667</v>
      </c>
      <c r="W89">
        <v>2</v>
      </c>
      <c r="X89">
        <v>165.90138861704901</v>
      </c>
      <c r="Y89">
        <v>1</v>
      </c>
    </row>
    <row r="90" spans="1:25" x14ac:dyDescent="0.25">
      <c r="A90">
        <v>110</v>
      </c>
      <c r="B90">
        <v>2</v>
      </c>
      <c r="C90" s="1">
        <v>1000000</v>
      </c>
      <c r="D90">
        <v>1</v>
      </c>
      <c r="E90">
        <v>0</v>
      </c>
      <c r="F90">
        <v>0.45</v>
      </c>
      <c r="G90">
        <v>4.45</v>
      </c>
      <c r="H90">
        <v>0.45</v>
      </c>
      <c r="I90">
        <v>0</v>
      </c>
      <c r="J90">
        <v>-5.1050337204379002</v>
      </c>
      <c r="K90">
        <v>-5.0997336545755898</v>
      </c>
      <c r="L90">
        <v>5.0277976863662897</v>
      </c>
      <c r="M90">
        <v>57.363435199821097</v>
      </c>
      <c r="N90">
        <v>0.153588391206706</v>
      </c>
      <c r="O90">
        <v>4.18879020281544</v>
      </c>
      <c r="P90">
        <v>-2.4989210515979599</v>
      </c>
      <c r="Q90">
        <v>10.552800761052</v>
      </c>
      <c r="R90">
        <v>12.5612185460527</v>
      </c>
      <c r="S90">
        <v>8.8542943567686301</v>
      </c>
      <c r="T90">
        <v>12.5457700962743</v>
      </c>
      <c r="U90">
        <v>0.11636003758173</v>
      </c>
      <c r="V90">
        <v>1.65954606603786</v>
      </c>
      <c r="W90">
        <v>2</v>
      </c>
      <c r="X90">
        <v>172.470720443255</v>
      </c>
      <c r="Y90">
        <v>1</v>
      </c>
    </row>
    <row r="91" spans="1:25" x14ac:dyDescent="0.25">
      <c r="A91">
        <v>110</v>
      </c>
      <c r="B91">
        <v>2</v>
      </c>
      <c r="C91" s="1">
        <v>1000000</v>
      </c>
      <c r="D91">
        <v>1</v>
      </c>
      <c r="E91">
        <v>0</v>
      </c>
      <c r="F91">
        <v>0.47499999999999998</v>
      </c>
      <c r="G91">
        <v>4.4749999999999996</v>
      </c>
      <c r="H91">
        <v>0.47499999999999998</v>
      </c>
      <c r="I91">
        <v>0</v>
      </c>
      <c r="J91">
        <v>-4.6327563391692204</v>
      </c>
      <c r="K91">
        <v>-4.6263615636894899</v>
      </c>
      <c r="L91">
        <v>5.7913520407640897</v>
      </c>
      <c r="M91">
        <v>57.951326961753303</v>
      </c>
      <c r="N91">
        <v>9.6158842923138504E-2</v>
      </c>
      <c r="O91">
        <v>4.1887901799271798</v>
      </c>
      <c r="P91">
        <v>-2.3312518318339701</v>
      </c>
      <c r="Q91">
        <v>10.2425620480118</v>
      </c>
      <c r="R91">
        <v>12.561249785799401</v>
      </c>
      <c r="S91">
        <v>8.3403374799365899</v>
      </c>
      <c r="T91">
        <v>12.5458949246977</v>
      </c>
      <c r="U91">
        <v>0.12385708338820201</v>
      </c>
      <c r="V91">
        <v>1.6079254525308</v>
      </c>
      <c r="W91">
        <v>2</v>
      </c>
      <c r="X91">
        <v>176.40988723710899</v>
      </c>
      <c r="Y91">
        <v>1</v>
      </c>
    </row>
    <row r="92" spans="1:25" x14ac:dyDescent="0.25">
      <c r="A92">
        <v>110</v>
      </c>
      <c r="B92">
        <v>2</v>
      </c>
      <c r="C92" s="1">
        <v>1000000</v>
      </c>
      <c r="D92">
        <v>1</v>
      </c>
      <c r="E92">
        <v>0</v>
      </c>
      <c r="F92">
        <v>0.5</v>
      </c>
      <c r="G92">
        <v>4.5</v>
      </c>
      <c r="H92">
        <v>0.5</v>
      </c>
      <c r="I92">
        <v>0</v>
      </c>
      <c r="J92">
        <v>-4.2265005613398801</v>
      </c>
      <c r="K92">
        <v>-4.2163143656484197</v>
      </c>
      <c r="L92">
        <v>6.4860827461401804</v>
      </c>
      <c r="M92">
        <v>58.490032885639302</v>
      </c>
      <c r="N92">
        <v>0.20530692956196001</v>
      </c>
      <c r="O92">
        <v>4.1887902047864003</v>
      </c>
      <c r="P92">
        <v>-2.1733922222994599</v>
      </c>
      <c r="Q92">
        <v>9.9579906420393893</v>
      </c>
      <c r="R92">
        <v>12.561287445170001</v>
      </c>
      <c r="S92">
        <v>7.8837284741842302</v>
      </c>
      <c r="T92">
        <v>12.5460453995968</v>
      </c>
      <c r="U92">
        <v>0.14524735805563899</v>
      </c>
      <c r="V92">
        <v>1.56281625144102</v>
      </c>
      <c r="W92">
        <v>2</v>
      </c>
      <c r="X92">
        <v>77.512640925991505</v>
      </c>
      <c r="Y92">
        <v>1</v>
      </c>
    </row>
    <row r="93" spans="1:25" x14ac:dyDescent="0.25">
      <c r="A93">
        <v>110</v>
      </c>
      <c r="B93">
        <v>2</v>
      </c>
      <c r="C93" s="1">
        <v>1000000</v>
      </c>
      <c r="D93">
        <v>1</v>
      </c>
      <c r="E93">
        <v>0</v>
      </c>
      <c r="F93">
        <v>0.52500000000000002</v>
      </c>
      <c r="G93">
        <v>4.5250000000000004</v>
      </c>
      <c r="H93">
        <v>0.52500000000000002</v>
      </c>
      <c r="I93">
        <v>0</v>
      </c>
      <c r="J93">
        <v>-3.8661793044286199</v>
      </c>
      <c r="K93">
        <v>-3.8602388463387598</v>
      </c>
      <c r="L93">
        <v>7.1190335585320597</v>
      </c>
      <c r="M93">
        <v>58.982801698079903</v>
      </c>
      <c r="N93">
        <v>0.188080344658177</v>
      </c>
      <c r="O93">
        <v>4.1887902044719798</v>
      </c>
      <c r="P93">
        <v>-2.0260201764333798</v>
      </c>
      <c r="Q93">
        <v>9.6961250726584094</v>
      </c>
      <c r="R93">
        <v>12.5612429234227</v>
      </c>
      <c r="S93">
        <v>7.4743672331948199</v>
      </c>
      <c r="T93">
        <v>12.5458675065716</v>
      </c>
      <c r="U93">
        <v>0.15585925138187101</v>
      </c>
      <c r="V93">
        <v>1.5202414555172701</v>
      </c>
      <c r="W93">
        <v>2</v>
      </c>
      <c r="X93">
        <v>-150.85862807978</v>
      </c>
      <c r="Y93">
        <v>1</v>
      </c>
    </row>
    <row r="94" spans="1:25" x14ac:dyDescent="0.25">
      <c r="A94">
        <v>110</v>
      </c>
      <c r="B94">
        <v>2</v>
      </c>
      <c r="C94" s="1">
        <v>1000000</v>
      </c>
      <c r="D94">
        <v>1</v>
      </c>
      <c r="E94">
        <v>0</v>
      </c>
      <c r="F94">
        <v>0.55000000000000004</v>
      </c>
      <c r="G94">
        <v>4.55</v>
      </c>
      <c r="H94">
        <v>0.55000000000000004</v>
      </c>
      <c r="I94">
        <v>0</v>
      </c>
      <c r="J94">
        <v>-3.5652905645230901</v>
      </c>
      <c r="K94">
        <v>-3.5540044177685002</v>
      </c>
      <c r="L94">
        <v>7.7000422933858204</v>
      </c>
      <c r="M94">
        <v>59.437193771779903</v>
      </c>
      <c r="N94">
        <v>0.25388225993390501</v>
      </c>
      <c r="O94">
        <v>4.1887901794978504</v>
      </c>
      <c r="P94">
        <v>-1.8924975972784499</v>
      </c>
      <c r="Q94">
        <v>9.4536912979409706</v>
      </c>
      <c r="R94">
        <v>12.561140287401299</v>
      </c>
      <c r="S94">
        <v>7.1053746154546902</v>
      </c>
      <c r="T94">
        <v>12.5454574218756</v>
      </c>
      <c r="U94">
        <v>0.16865788574931501</v>
      </c>
      <c r="V94">
        <v>1.48032509255855</v>
      </c>
      <c r="W94">
        <v>2</v>
      </c>
      <c r="X94">
        <v>-138.22959550925</v>
      </c>
      <c r="Y94">
        <v>1</v>
      </c>
    </row>
    <row r="95" spans="1:25" x14ac:dyDescent="0.25">
      <c r="A95">
        <v>110</v>
      </c>
      <c r="B95">
        <v>2</v>
      </c>
      <c r="C95" s="1">
        <v>1000000</v>
      </c>
      <c r="D95">
        <v>1</v>
      </c>
      <c r="E95">
        <v>0</v>
      </c>
      <c r="F95">
        <v>0.57499999999999996</v>
      </c>
      <c r="G95">
        <v>4.5750000000000002</v>
      </c>
      <c r="H95">
        <v>0.57499999999999996</v>
      </c>
      <c r="I95">
        <v>0</v>
      </c>
      <c r="J95">
        <v>-3.2889023463098401</v>
      </c>
      <c r="K95">
        <v>-3.2852982644245099</v>
      </c>
      <c r="L95">
        <v>8.2373286012051903</v>
      </c>
      <c r="M95">
        <v>59.857029926075597</v>
      </c>
      <c r="N95">
        <v>0.195676930512238</v>
      </c>
      <c r="O95">
        <v>4.1887901958532199</v>
      </c>
      <c r="P95">
        <v>-1.7710761249137901</v>
      </c>
      <c r="Q95">
        <v>9.2223886446990999</v>
      </c>
      <c r="R95">
        <v>12.561143399313901</v>
      </c>
      <c r="S95">
        <v>6.7619494502948498</v>
      </c>
      <c r="T95">
        <v>12.5454698552926</v>
      </c>
      <c r="U95">
        <v>0.18201276541295899</v>
      </c>
      <c r="V95">
        <v>1.44245225366608</v>
      </c>
      <c r="W95">
        <v>2</v>
      </c>
      <c r="X95">
        <v>-165.48693643557999</v>
      </c>
      <c r="Y95">
        <v>1</v>
      </c>
    </row>
    <row r="96" spans="1:25" x14ac:dyDescent="0.25">
      <c r="A96">
        <v>110</v>
      </c>
      <c r="B96">
        <v>2</v>
      </c>
      <c r="C96" s="1">
        <v>1000000</v>
      </c>
      <c r="D96">
        <v>1</v>
      </c>
      <c r="E96">
        <v>0</v>
      </c>
      <c r="F96">
        <v>0.6</v>
      </c>
      <c r="G96">
        <v>4.5999999999999996</v>
      </c>
      <c r="H96">
        <v>0.6</v>
      </c>
      <c r="I96">
        <v>0</v>
      </c>
      <c r="J96">
        <v>-3.05245510624919</v>
      </c>
      <c r="K96">
        <v>-3.0477318409626801</v>
      </c>
      <c r="L96">
        <v>8.7349272722052493</v>
      </c>
      <c r="M96">
        <v>60.2448795348053</v>
      </c>
      <c r="N96">
        <v>0.28538829328295201</v>
      </c>
      <c r="O96">
        <v>4.1887901851417899</v>
      </c>
      <c r="P96">
        <v>-1.6598017372006899</v>
      </c>
      <c r="Q96">
        <v>9.0011203030418692</v>
      </c>
      <c r="R96">
        <v>12.561129977768701</v>
      </c>
      <c r="S96">
        <v>6.4412377431394203</v>
      </c>
      <c r="T96">
        <v>12.5454162253798</v>
      </c>
      <c r="U96">
        <v>0.19231117341745099</v>
      </c>
      <c r="V96">
        <v>1.4060801536440199</v>
      </c>
      <c r="W96">
        <v>2</v>
      </c>
      <c r="X96">
        <v>-165.165553147216</v>
      </c>
      <c r="Y96">
        <v>1</v>
      </c>
    </row>
    <row r="97" spans="1:25" x14ac:dyDescent="0.25">
      <c r="A97">
        <v>110</v>
      </c>
      <c r="B97">
        <v>2</v>
      </c>
      <c r="C97" s="1">
        <v>1000000</v>
      </c>
      <c r="D97">
        <v>1</v>
      </c>
      <c r="E97">
        <v>0</v>
      </c>
      <c r="F97">
        <v>0.625</v>
      </c>
      <c r="G97">
        <v>4.625</v>
      </c>
      <c r="H97">
        <v>0.625</v>
      </c>
      <c r="I97">
        <v>0</v>
      </c>
      <c r="J97">
        <v>-2.8422202744365999</v>
      </c>
      <c r="K97">
        <v>-2.83827830027565</v>
      </c>
      <c r="L97">
        <v>9.1975205691051904</v>
      </c>
      <c r="M97">
        <v>60.605449568975999</v>
      </c>
      <c r="N97">
        <v>0.189604723860613</v>
      </c>
      <c r="O97">
        <v>4.1887901914030401</v>
      </c>
      <c r="P97">
        <v>-1.5581387908556299</v>
      </c>
      <c r="Q97">
        <v>8.7908178948470699</v>
      </c>
      <c r="R97">
        <v>12.561064140760401</v>
      </c>
      <c r="S97">
        <v>6.1437157355291498</v>
      </c>
      <c r="T97">
        <v>12.5451531585911</v>
      </c>
      <c r="U97">
        <v>0.20340689348344199</v>
      </c>
      <c r="V97">
        <v>1.3724216305846599</v>
      </c>
      <c r="W97">
        <v>2</v>
      </c>
      <c r="X97">
        <v>-170.36039630728399</v>
      </c>
      <c r="Y97">
        <v>1</v>
      </c>
    </row>
    <row r="98" spans="1:25" x14ac:dyDescent="0.25">
      <c r="A98">
        <v>110</v>
      </c>
      <c r="B98">
        <v>2</v>
      </c>
      <c r="C98" s="1">
        <v>1000000</v>
      </c>
      <c r="D98">
        <v>1</v>
      </c>
      <c r="E98">
        <v>0</v>
      </c>
      <c r="F98">
        <v>0.65</v>
      </c>
      <c r="G98">
        <v>4.6500000000000004</v>
      </c>
      <c r="H98">
        <v>0.65</v>
      </c>
      <c r="I98">
        <v>0</v>
      </c>
      <c r="J98">
        <v>-2.65543841194956</v>
      </c>
      <c r="K98">
        <v>-2.6501857800491502</v>
      </c>
      <c r="L98">
        <v>9.6288588234453805</v>
      </c>
      <c r="M98">
        <v>60.939894791662098</v>
      </c>
      <c r="N98">
        <v>0.28474839453825401</v>
      </c>
      <c r="O98">
        <v>4.1887901854448399</v>
      </c>
      <c r="P98">
        <v>-1.46413164827362</v>
      </c>
      <c r="Q98">
        <v>8.5868826210559099</v>
      </c>
      <c r="R98">
        <v>12.5609395149822</v>
      </c>
      <c r="S98">
        <v>5.8618896258816404</v>
      </c>
      <c r="T98">
        <v>12.5446551819634</v>
      </c>
      <c r="U98">
        <v>0.20833567140600801</v>
      </c>
      <c r="V98">
        <v>1.33925283709212</v>
      </c>
      <c r="W98">
        <v>2</v>
      </c>
      <c r="X98">
        <v>-175.72858802697701</v>
      </c>
      <c r="Y98">
        <v>1</v>
      </c>
    </row>
    <row r="99" spans="1:25" x14ac:dyDescent="0.25">
      <c r="A99">
        <v>110</v>
      </c>
      <c r="B99">
        <v>2</v>
      </c>
      <c r="C99" s="1">
        <v>1000000</v>
      </c>
      <c r="D99">
        <v>1</v>
      </c>
      <c r="E99">
        <v>0</v>
      </c>
      <c r="F99">
        <v>0.67500000000000004</v>
      </c>
      <c r="G99">
        <v>4.6749999999999998</v>
      </c>
      <c r="H99">
        <v>0.67500000000000004</v>
      </c>
      <c r="I99">
        <v>0</v>
      </c>
      <c r="J99">
        <v>-2.4883178253307401</v>
      </c>
      <c r="K99">
        <v>-2.4819601660748898</v>
      </c>
      <c r="L99">
        <v>10.0325402438504</v>
      </c>
      <c r="M99">
        <v>61.253136669408399</v>
      </c>
      <c r="N99">
        <v>0.25226747205245498</v>
      </c>
      <c r="O99">
        <v>4.1887901951950504</v>
      </c>
      <c r="P99">
        <v>-1.3770529358855499</v>
      </c>
      <c r="Q99">
        <v>8.3916575120138006</v>
      </c>
      <c r="R99">
        <v>12.5608762316268</v>
      </c>
      <c r="S99">
        <v>5.5982139882859396</v>
      </c>
      <c r="T99">
        <v>12.544402303806701</v>
      </c>
      <c r="U99">
        <v>0.20723868978233201</v>
      </c>
      <c r="V99">
        <v>1.3070043815766701</v>
      </c>
      <c r="W99">
        <v>2</v>
      </c>
      <c r="X99">
        <v>-170.53304651284199</v>
      </c>
      <c r="Y99">
        <v>1</v>
      </c>
    </row>
    <row r="100" spans="1:25" x14ac:dyDescent="0.25">
      <c r="A100">
        <v>110</v>
      </c>
      <c r="B100">
        <v>2</v>
      </c>
      <c r="C100" s="1">
        <v>1000000</v>
      </c>
      <c r="D100">
        <v>1</v>
      </c>
      <c r="E100">
        <v>0</v>
      </c>
      <c r="F100">
        <v>0.7</v>
      </c>
      <c r="G100">
        <v>4.7</v>
      </c>
      <c r="H100">
        <v>0.7</v>
      </c>
      <c r="I100">
        <v>0</v>
      </c>
      <c r="J100">
        <v>-2.3354755947045498</v>
      </c>
      <c r="K100">
        <v>-2.3321378379931299</v>
      </c>
      <c r="L100">
        <v>10.4111790109793</v>
      </c>
      <c r="M100">
        <v>61.548428499465999</v>
      </c>
      <c r="N100">
        <v>0.30915986898662401</v>
      </c>
      <c r="O100">
        <v>4.1887902033829496</v>
      </c>
      <c r="P100">
        <v>-1.2963534135444701</v>
      </c>
      <c r="Q100">
        <v>8.2069471590303706</v>
      </c>
      <c r="R100">
        <v>12.560884587920601</v>
      </c>
      <c r="S100">
        <v>5.3544399551481998</v>
      </c>
      <c r="T100">
        <v>12.5444356759723</v>
      </c>
      <c r="U100">
        <v>0.21101823933378699</v>
      </c>
      <c r="V100">
        <v>1.27692823296203</v>
      </c>
      <c r="W100">
        <v>2</v>
      </c>
      <c r="X100">
        <v>-165.30997765301001</v>
      </c>
      <c r="Y100">
        <v>1</v>
      </c>
    </row>
    <row r="101" spans="1:25" x14ac:dyDescent="0.25">
      <c r="A101">
        <v>110</v>
      </c>
      <c r="B101">
        <v>2</v>
      </c>
      <c r="C101" s="1">
        <v>1000000</v>
      </c>
      <c r="D101">
        <v>1</v>
      </c>
      <c r="E101">
        <v>0</v>
      </c>
      <c r="F101">
        <v>0.72499999999999998</v>
      </c>
      <c r="G101">
        <v>4.7249999999999996</v>
      </c>
      <c r="H101">
        <v>0.72499999999999998</v>
      </c>
      <c r="I101">
        <v>0</v>
      </c>
      <c r="J101">
        <v>-2.19817741219414</v>
      </c>
      <c r="K101">
        <v>-2.1942489373985201</v>
      </c>
      <c r="L101">
        <v>10.767122898764599</v>
      </c>
      <c r="M101">
        <v>61.823298931345697</v>
      </c>
      <c r="N101">
        <v>0.184513292468856</v>
      </c>
      <c r="O101">
        <v>4.1887902082172799</v>
      </c>
      <c r="P101">
        <v>-1.2208217965564301</v>
      </c>
      <c r="Q101">
        <v>8.0232924247594006</v>
      </c>
      <c r="R101">
        <v>12.560885005134301</v>
      </c>
      <c r="S101">
        <v>5.1174086303382298</v>
      </c>
      <c r="T101">
        <v>12.544437325175201</v>
      </c>
      <c r="U101">
        <v>0.20529563439265899</v>
      </c>
      <c r="V101">
        <v>1.2468414078472401</v>
      </c>
      <c r="W101">
        <v>2</v>
      </c>
      <c r="X101">
        <v>-165.699869099544</v>
      </c>
      <c r="Y101">
        <v>1</v>
      </c>
    </row>
    <row r="102" spans="1:25" x14ac:dyDescent="0.25">
      <c r="A102">
        <v>110</v>
      </c>
      <c r="B102">
        <v>2</v>
      </c>
      <c r="C102" s="1">
        <v>1000000</v>
      </c>
      <c r="D102">
        <v>1</v>
      </c>
      <c r="E102">
        <v>0</v>
      </c>
      <c r="F102">
        <v>0.75</v>
      </c>
      <c r="G102">
        <v>4.75</v>
      </c>
      <c r="H102">
        <v>0.75</v>
      </c>
      <c r="I102">
        <v>0</v>
      </c>
      <c r="J102">
        <v>-2.0728458570388502</v>
      </c>
      <c r="K102">
        <v>-2.0669055171936002</v>
      </c>
      <c r="L102">
        <v>11.102422767460601</v>
      </c>
      <c r="M102">
        <v>62.080513314708902</v>
      </c>
      <c r="N102">
        <v>0.130815059638169</v>
      </c>
      <c r="O102">
        <v>4.1887902165201396</v>
      </c>
      <c r="P102">
        <v>-1.1488212795720401</v>
      </c>
      <c r="Q102">
        <v>7.8426138490679502</v>
      </c>
      <c r="R102">
        <v>12.5608568701255</v>
      </c>
      <c r="S102">
        <v>4.8894498345375501</v>
      </c>
      <c r="T102">
        <v>12.544324882396801</v>
      </c>
      <c r="U102">
        <v>0.21423944500714501</v>
      </c>
      <c r="V102">
        <v>1.2176409483488</v>
      </c>
      <c r="W102">
        <v>2</v>
      </c>
      <c r="X102">
        <v>-166.13625113992799</v>
      </c>
      <c r="Y102">
        <v>1</v>
      </c>
    </row>
    <row r="103" spans="1:25" x14ac:dyDescent="0.25">
      <c r="A103">
        <v>110</v>
      </c>
      <c r="B103">
        <v>2</v>
      </c>
      <c r="C103" s="1">
        <v>1000000</v>
      </c>
      <c r="D103">
        <v>1</v>
      </c>
      <c r="E103">
        <v>0</v>
      </c>
      <c r="F103">
        <v>0.77500000000000002</v>
      </c>
      <c r="G103">
        <v>4.7750000000000004</v>
      </c>
      <c r="H103">
        <v>0.77500000000000002</v>
      </c>
      <c r="I103">
        <v>0</v>
      </c>
      <c r="J103">
        <v>-1.95693783206968</v>
      </c>
      <c r="K103">
        <v>-1.9510746391497</v>
      </c>
      <c r="L103">
        <v>11.4188501904882</v>
      </c>
      <c r="M103">
        <v>62.323059770574297</v>
      </c>
      <c r="N103">
        <v>4.3261694350960403E-2</v>
      </c>
      <c r="O103">
        <v>4.1887902087689799</v>
      </c>
      <c r="P103">
        <v>-1.08130150118279</v>
      </c>
      <c r="Q103">
        <v>7.6677066714952202</v>
      </c>
      <c r="R103">
        <v>12.5608369855403</v>
      </c>
      <c r="S103">
        <v>4.67369750512061</v>
      </c>
      <c r="T103">
        <v>12.544245404072599</v>
      </c>
      <c r="U103">
        <v>0.191634049512895</v>
      </c>
      <c r="V103">
        <v>1.18894281471015</v>
      </c>
      <c r="W103">
        <v>2</v>
      </c>
      <c r="X103">
        <v>-172.12215997114299</v>
      </c>
      <c r="Y103">
        <v>1</v>
      </c>
    </row>
    <row r="104" spans="1:25" x14ac:dyDescent="0.25">
      <c r="A104">
        <v>110</v>
      </c>
      <c r="B104">
        <v>2</v>
      </c>
      <c r="C104" s="1">
        <v>1000000</v>
      </c>
      <c r="D104">
        <v>1</v>
      </c>
      <c r="E104">
        <v>0</v>
      </c>
      <c r="F104">
        <v>0.8</v>
      </c>
      <c r="G104">
        <v>4.8</v>
      </c>
      <c r="H104">
        <v>0.8</v>
      </c>
      <c r="I104">
        <v>0</v>
      </c>
      <c r="J104">
        <v>-1.84921487735537</v>
      </c>
      <c r="K104">
        <v>-1.8437977298988699</v>
      </c>
      <c r="L104">
        <v>11.7179302084915</v>
      </c>
      <c r="M104">
        <v>62.5521677836336</v>
      </c>
      <c r="N104">
        <v>4.84051928096592E-2</v>
      </c>
      <c r="O104">
        <v>4.1887902123719902</v>
      </c>
      <c r="P104">
        <v>-1.01572663006007</v>
      </c>
      <c r="Q104">
        <v>7.4979199411625999</v>
      </c>
      <c r="R104">
        <v>12.560857894621</v>
      </c>
      <c r="S104">
        <v>4.4689019974687403</v>
      </c>
      <c r="T104">
        <v>12.5443289394339</v>
      </c>
      <c r="U104">
        <v>0.172282807078317</v>
      </c>
      <c r="V104">
        <v>1.1607849493871101</v>
      </c>
      <c r="W104">
        <v>2</v>
      </c>
      <c r="X104">
        <v>-133.769830275776</v>
      </c>
      <c r="Y104">
        <v>1</v>
      </c>
    </row>
    <row r="105" spans="1:25" x14ac:dyDescent="0.25">
      <c r="A105">
        <v>110</v>
      </c>
      <c r="B105">
        <v>2</v>
      </c>
      <c r="C105" s="1">
        <v>1000000</v>
      </c>
      <c r="D105">
        <v>1</v>
      </c>
      <c r="E105">
        <v>0</v>
      </c>
      <c r="F105">
        <v>0.82499999999999996</v>
      </c>
      <c r="G105">
        <v>4.8250000000000002</v>
      </c>
      <c r="H105">
        <v>0.82499999999999996</v>
      </c>
      <c r="I105">
        <v>0</v>
      </c>
      <c r="J105">
        <v>-1.7543738675508</v>
      </c>
      <c r="K105">
        <v>-1.7474580854975099</v>
      </c>
      <c r="L105">
        <v>12.0010167315594</v>
      </c>
      <c r="M105">
        <v>62.768634792821501</v>
      </c>
      <c r="N105">
        <v>6.2799828832737603E-2</v>
      </c>
      <c r="O105">
        <v>4.1887902106741803</v>
      </c>
      <c r="P105">
        <v>-0.956977777563494</v>
      </c>
      <c r="Q105">
        <v>7.3321729377209897</v>
      </c>
      <c r="R105">
        <v>12.5609159960983</v>
      </c>
      <c r="S105">
        <v>4.2734682661283196</v>
      </c>
      <c r="T105">
        <v>12.5445611035122</v>
      </c>
      <c r="U105">
        <v>0.17891677071064199</v>
      </c>
      <c r="V105">
        <v>1.1333903010524899</v>
      </c>
      <c r="W105">
        <v>2</v>
      </c>
      <c r="X105">
        <v>-105.867902125507</v>
      </c>
      <c r="Y105">
        <v>1</v>
      </c>
    </row>
    <row r="106" spans="1:25" x14ac:dyDescent="0.25">
      <c r="A106">
        <v>110</v>
      </c>
      <c r="B106">
        <v>2</v>
      </c>
      <c r="C106" s="1">
        <v>1000000</v>
      </c>
      <c r="D106">
        <v>1</v>
      </c>
      <c r="E106">
        <v>0</v>
      </c>
      <c r="F106">
        <v>0.85</v>
      </c>
      <c r="G106">
        <v>4.8499999999999996</v>
      </c>
      <c r="H106">
        <v>0.85</v>
      </c>
      <c r="I106">
        <v>0</v>
      </c>
      <c r="J106">
        <v>-1.6647440180566699</v>
      </c>
      <c r="K106">
        <v>-1.6574720906332501</v>
      </c>
      <c r="L106">
        <v>12.2692540988259</v>
      </c>
      <c r="M106">
        <v>62.973090011036199</v>
      </c>
      <c r="N106">
        <v>7.3362846299869694E-2</v>
      </c>
      <c r="O106">
        <v>4.18879021765395</v>
      </c>
      <c r="P106">
        <v>-0.89989094889080701</v>
      </c>
      <c r="Q106">
        <v>7.1695568242771204</v>
      </c>
      <c r="R106">
        <v>12.560993432411699</v>
      </c>
      <c r="S106">
        <v>4.0860780402123797</v>
      </c>
      <c r="T106">
        <v>12.544870539986199</v>
      </c>
      <c r="U106">
        <v>0.171315389767936</v>
      </c>
      <c r="V106">
        <v>1.1067715638168001</v>
      </c>
      <c r="W106">
        <v>2</v>
      </c>
      <c r="X106">
        <v>-5.4351207784503499</v>
      </c>
      <c r="Y106">
        <v>1</v>
      </c>
    </row>
    <row r="107" spans="1:25" x14ac:dyDescent="0.25">
      <c r="A107">
        <v>110</v>
      </c>
      <c r="B107">
        <v>2</v>
      </c>
      <c r="C107" s="1">
        <v>1000000</v>
      </c>
      <c r="D107">
        <v>1</v>
      </c>
      <c r="E107">
        <v>0</v>
      </c>
      <c r="F107">
        <v>0.875</v>
      </c>
      <c r="G107">
        <v>4.875</v>
      </c>
      <c r="H107">
        <v>0.875</v>
      </c>
      <c r="I107">
        <v>0</v>
      </c>
      <c r="J107">
        <v>-1.57765253603469</v>
      </c>
      <c r="K107">
        <v>-1.57392977993668</v>
      </c>
      <c r="L107">
        <v>12.5237410572167</v>
      </c>
      <c r="M107">
        <v>63.166427498007998</v>
      </c>
      <c r="N107">
        <v>0.22856731348961101</v>
      </c>
      <c r="O107">
        <v>4.1887902412882996</v>
      </c>
      <c r="P107">
        <v>-0.84525825870719096</v>
      </c>
      <c r="Q107">
        <v>7.01010995324497</v>
      </c>
      <c r="R107">
        <v>12.561068138587499</v>
      </c>
      <c r="S107">
        <v>3.9064319571613999</v>
      </c>
      <c r="T107">
        <v>12.545169071838499</v>
      </c>
      <c r="U107">
        <v>0.17311978331319</v>
      </c>
      <c r="V107">
        <v>1.0805413020303101</v>
      </c>
      <c r="W107">
        <v>2</v>
      </c>
      <c r="X107">
        <v>72.767225526533593</v>
      </c>
      <c r="Y107">
        <v>1</v>
      </c>
    </row>
    <row r="108" spans="1:25" x14ac:dyDescent="0.25">
      <c r="A108">
        <v>110</v>
      </c>
      <c r="B108">
        <v>2</v>
      </c>
      <c r="C108" s="1">
        <v>1000000</v>
      </c>
      <c r="D108">
        <v>1</v>
      </c>
      <c r="E108">
        <v>0</v>
      </c>
      <c r="F108">
        <v>0.9</v>
      </c>
      <c r="G108">
        <v>4.9000000000000004</v>
      </c>
      <c r="H108">
        <v>0.9</v>
      </c>
      <c r="I108">
        <v>0</v>
      </c>
      <c r="J108">
        <v>-1.49936541303812</v>
      </c>
      <c r="K108">
        <v>-1.49458923345608</v>
      </c>
      <c r="L108">
        <v>12.765356185539799</v>
      </c>
      <c r="M108">
        <v>63.347162459986698</v>
      </c>
      <c r="N108">
        <v>5.91779340505285E-2</v>
      </c>
      <c r="O108">
        <v>4.1887902133358503</v>
      </c>
      <c r="P108">
        <v>-0.79305674052395103</v>
      </c>
      <c r="Q108">
        <v>6.8475970984666201</v>
      </c>
      <c r="R108">
        <v>12.5611455438245</v>
      </c>
      <c r="S108">
        <v>3.7275323407791698</v>
      </c>
      <c r="T108">
        <v>12.5454783860676</v>
      </c>
      <c r="U108">
        <v>0.180642851029686</v>
      </c>
      <c r="V108">
        <v>1.0544785965457899</v>
      </c>
      <c r="W108">
        <v>2</v>
      </c>
      <c r="X108">
        <v>128.25359296078301</v>
      </c>
      <c r="Y108">
        <v>1</v>
      </c>
    </row>
    <row r="109" spans="1:25" x14ac:dyDescent="0.25">
      <c r="A109">
        <v>110</v>
      </c>
      <c r="B109">
        <v>2</v>
      </c>
      <c r="C109" s="1">
        <v>1000000</v>
      </c>
      <c r="D109">
        <v>1</v>
      </c>
      <c r="E109">
        <v>0</v>
      </c>
      <c r="F109">
        <v>0.92500000000000004</v>
      </c>
      <c r="G109">
        <v>4.9249999999999998</v>
      </c>
      <c r="H109">
        <v>0.92500000000000004</v>
      </c>
      <c r="I109">
        <v>0</v>
      </c>
      <c r="J109">
        <v>-1.4248979449566399</v>
      </c>
      <c r="K109">
        <v>-1.4209462158449999</v>
      </c>
      <c r="L109">
        <v>12.9948688005764</v>
      </c>
      <c r="M109">
        <v>63.518720416012997</v>
      </c>
      <c r="N109">
        <v>8.3275848710218398E-2</v>
      </c>
      <c r="O109">
        <v>4.1887902094664904</v>
      </c>
      <c r="P109">
        <v>-0.74266628049986905</v>
      </c>
      <c r="Q109">
        <v>6.6894501700609101</v>
      </c>
      <c r="R109">
        <v>12.561195602146199</v>
      </c>
      <c r="S109">
        <v>3.55750825524238</v>
      </c>
      <c r="T109">
        <v>12.5456784182599</v>
      </c>
      <c r="U109">
        <v>0.17570487494150899</v>
      </c>
      <c r="V109">
        <v>1.0287811971716301</v>
      </c>
      <c r="W109">
        <v>2</v>
      </c>
      <c r="X109">
        <v>161.40030793577699</v>
      </c>
      <c r="Y109">
        <v>1</v>
      </c>
    </row>
    <row r="110" spans="1:25" x14ac:dyDescent="0.25">
      <c r="A110">
        <v>110</v>
      </c>
      <c r="B110">
        <v>2</v>
      </c>
      <c r="C110" s="1">
        <v>1000000</v>
      </c>
      <c r="D110">
        <v>1</v>
      </c>
      <c r="E110">
        <v>0</v>
      </c>
      <c r="F110">
        <v>0.95</v>
      </c>
      <c r="G110">
        <v>4.95</v>
      </c>
      <c r="H110">
        <v>0.95</v>
      </c>
      <c r="I110">
        <v>0</v>
      </c>
      <c r="J110">
        <v>-1.35461400336061</v>
      </c>
      <c r="K110">
        <v>-1.3498931277994</v>
      </c>
      <c r="L110">
        <v>13.2130479653395</v>
      </c>
      <c r="M110">
        <v>63.680199773323899</v>
      </c>
      <c r="N110">
        <v>4.3053978194452197E-2</v>
      </c>
      <c r="O110">
        <v>4.1887902058192097</v>
      </c>
      <c r="P110">
        <v>-0.69121513544672397</v>
      </c>
      <c r="Q110">
        <v>6.53132354788446</v>
      </c>
      <c r="R110">
        <v>12.5612242988385</v>
      </c>
      <c r="S110">
        <v>3.3914073994120599</v>
      </c>
      <c r="T110">
        <v>12.545793087232701</v>
      </c>
      <c r="U110">
        <v>0.20471668834745599</v>
      </c>
      <c r="V110">
        <v>1.00287375249775</v>
      </c>
      <c r="W110">
        <v>2</v>
      </c>
      <c r="X110">
        <v>177.43498634748499</v>
      </c>
      <c r="Y110">
        <v>1</v>
      </c>
    </row>
    <row r="111" spans="1:25" x14ac:dyDescent="0.25">
      <c r="A111">
        <v>110</v>
      </c>
      <c r="B111">
        <v>2</v>
      </c>
      <c r="C111" s="1">
        <v>1000000</v>
      </c>
      <c r="D111">
        <v>1</v>
      </c>
      <c r="E111">
        <v>0</v>
      </c>
      <c r="F111">
        <v>0.97499999999999998</v>
      </c>
      <c r="G111">
        <v>4.9749999999999996</v>
      </c>
      <c r="H111">
        <v>0.97499999999999998</v>
      </c>
      <c r="I111">
        <v>0</v>
      </c>
      <c r="J111">
        <v>-1.28693422148408</v>
      </c>
      <c r="K111">
        <v>-1.28057260972705</v>
      </c>
      <c r="L111">
        <v>13.4205046017616</v>
      </c>
      <c r="M111">
        <v>63.8295705189499</v>
      </c>
      <c r="N111">
        <v>6.9641610874983606E-2</v>
      </c>
      <c r="O111">
        <v>4.1887902078298298</v>
      </c>
      <c r="P111">
        <v>-0.640921141747123</v>
      </c>
      <c r="Q111">
        <v>6.3653058139381598</v>
      </c>
      <c r="R111">
        <v>12.561247865968401</v>
      </c>
      <c r="S111">
        <v>3.2213699460469298</v>
      </c>
      <c r="T111">
        <v>12.5458872563322</v>
      </c>
      <c r="U111">
        <v>0.230790562714702</v>
      </c>
      <c r="V111">
        <v>0.97720550139015605</v>
      </c>
      <c r="W111">
        <v>2</v>
      </c>
      <c r="X111">
        <v>176.58747390224099</v>
      </c>
      <c r="Y111">
        <v>1</v>
      </c>
    </row>
    <row r="112" spans="1:25" x14ac:dyDescent="0.25">
      <c r="A112">
        <v>110</v>
      </c>
      <c r="B112">
        <v>2</v>
      </c>
      <c r="C112" s="1">
        <v>1000000</v>
      </c>
      <c r="D112">
        <v>1</v>
      </c>
      <c r="E112">
        <v>0</v>
      </c>
      <c r="F112">
        <v>1</v>
      </c>
      <c r="G112">
        <v>5</v>
      </c>
      <c r="H112">
        <v>1</v>
      </c>
      <c r="I112">
        <v>0</v>
      </c>
      <c r="J112">
        <v>-1.2242525710302401</v>
      </c>
      <c r="K112">
        <v>-1.2207190604145901</v>
      </c>
      <c r="L112">
        <v>13.615262800013801</v>
      </c>
      <c r="M112">
        <v>63.973860182102399</v>
      </c>
      <c r="N112">
        <v>0.46399538404754997</v>
      </c>
      <c r="O112">
        <v>4.1887901896855704</v>
      </c>
      <c r="P112">
        <v>-0.59461148369380101</v>
      </c>
      <c r="Q112">
        <v>6.2174374550577296</v>
      </c>
      <c r="R112">
        <v>12.5612736515276</v>
      </c>
      <c r="S112">
        <v>3.0734757366651499</v>
      </c>
      <c r="T112">
        <v>12.5459903230871</v>
      </c>
      <c r="U112">
        <v>-0.10469304126443001</v>
      </c>
      <c r="V112">
        <v>0.95216421199649903</v>
      </c>
      <c r="W112">
        <v>2</v>
      </c>
      <c r="X112">
        <v>176.24739250496</v>
      </c>
      <c r="Y112">
        <v>1</v>
      </c>
    </row>
    <row r="113" spans="1:25" x14ac:dyDescent="0.25">
      <c r="A113">
        <v>110</v>
      </c>
      <c r="B113">
        <v>2</v>
      </c>
      <c r="C113" s="1">
        <v>1000000</v>
      </c>
      <c r="D113">
        <v>1</v>
      </c>
      <c r="E113">
        <v>0</v>
      </c>
      <c r="F113">
        <v>1.0249999999999999</v>
      </c>
      <c r="G113">
        <v>5.0250000000000004</v>
      </c>
      <c r="H113">
        <v>1.0249999999999999</v>
      </c>
      <c r="I113">
        <v>0</v>
      </c>
      <c r="J113">
        <v>-1.16205829548814</v>
      </c>
      <c r="K113">
        <v>-1.1585656260166901</v>
      </c>
      <c r="L113">
        <v>13.8023183865424</v>
      </c>
      <c r="M113">
        <v>64.105954971967805</v>
      </c>
      <c r="N113">
        <v>0.337069019811575</v>
      </c>
      <c r="O113">
        <v>4.1887901602514601</v>
      </c>
      <c r="P113">
        <v>-0.54644932323707396</v>
      </c>
      <c r="Q113">
        <v>6.0528573187665202</v>
      </c>
      <c r="R113">
        <v>12.561280818942601</v>
      </c>
      <c r="S113">
        <v>2.9127260186686499</v>
      </c>
      <c r="T113">
        <v>12.5460189556131</v>
      </c>
      <c r="U113">
        <v>-0.32592872395994898</v>
      </c>
      <c r="V113">
        <v>0.92538338892225303</v>
      </c>
      <c r="W113">
        <v>2</v>
      </c>
      <c r="X113">
        <v>175.28695986713501</v>
      </c>
      <c r="Y113">
        <v>1</v>
      </c>
    </row>
    <row r="114" spans="1:25" x14ac:dyDescent="0.25">
      <c r="A114">
        <v>110</v>
      </c>
      <c r="B114">
        <v>2</v>
      </c>
      <c r="C114" s="1">
        <v>1000000</v>
      </c>
      <c r="D114">
        <v>1</v>
      </c>
      <c r="E114">
        <v>0</v>
      </c>
      <c r="F114">
        <v>1.05</v>
      </c>
      <c r="G114">
        <v>5.05</v>
      </c>
      <c r="H114">
        <v>1.05</v>
      </c>
      <c r="I114">
        <v>0</v>
      </c>
      <c r="J114">
        <v>-1.1893286393417499</v>
      </c>
      <c r="K114">
        <v>-1.10316957362357</v>
      </c>
      <c r="L114">
        <v>13.9810550603703</v>
      </c>
      <c r="M114">
        <v>64.234074062450205</v>
      </c>
      <c r="N114">
        <v>0.14543719115779299</v>
      </c>
      <c r="O114">
        <v>4.1887902039385203</v>
      </c>
      <c r="P114">
        <v>-0.50292537423674999</v>
      </c>
      <c r="Q114">
        <v>5.8966815331613898</v>
      </c>
      <c r="R114">
        <v>12.5612996068336</v>
      </c>
      <c r="S114">
        <v>2.7645269133475199</v>
      </c>
      <c r="T114">
        <v>12.5460940064289</v>
      </c>
      <c r="U114">
        <v>-0.306322820604086</v>
      </c>
      <c r="V114">
        <v>0.90031578829568903</v>
      </c>
      <c r="W114">
        <v>2</v>
      </c>
      <c r="X114">
        <v>174.59852506238099</v>
      </c>
      <c r="Y114">
        <v>1</v>
      </c>
    </row>
    <row r="115" spans="1:25" x14ac:dyDescent="0.25">
      <c r="A115">
        <v>110</v>
      </c>
      <c r="B115">
        <v>2</v>
      </c>
      <c r="C115" s="1">
        <v>1000000</v>
      </c>
      <c r="D115">
        <v>1</v>
      </c>
      <c r="E115">
        <v>0</v>
      </c>
      <c r="F115">
        <v>1.075</v>
      </c>
      <c r="G115">
        <v>5.0750000000000002</v>
      </c>
      <c r="H115">
        <v>1.075</v>
      </c>
      <c r="I115">
        <v>0</v>
      </c>
      <c r="J115">
        <v>-1.0497808325526801</v>
      </c>
      <c r="K115">
        <v>-1.04447442991388</v>
      </c>
      <c r="L115">
        <v>14.1505432928678</v>
      </c>
      <c r="M115">
        <v>64.348741661058995</v>
      </c>
      <c r="N115">
        <v>0.36486979296037197</v>
      </c>
      <c r="O115">
        <v>4.1887901420446996</v>
      </c>
      <c r="P115">
        <v>-0.45487681986272599</v>
      </c>
      <c r="Q115">
        <v>5.7231651707722602</v>
      </c>
      <c r="R115">
        <v>12.5613012870297</v>
      </c>
      <c r="S115">
        <v>2.6042441854995602</v>
      </c>
      <c r="T115">
        <v>12.5461007183516</v>
      </c>
      <c r="U115">
        <v>-0.30416844654604602</v>
      </c>
      <c r="V115">
        <v>0.87199747764623903</v>
      </c>
      <c r="W115">
        <v>2</v>
      </c>
      <c r="X115">
        <v>173.450051830446</v>
      </c>
      <c r="Y115">
        <v>1</v>
      </c>
    </row>
    <row r="116" spans="1:25" x14ac:dyDescent="0.25">
      <c r="A116">
        <v>110</v>
      </c>
      <c r="B116">
        <v>2</v>
      </c>
      <c r="C116" s="1">
        <v>1000000</v>
      </c>
      <c r="D116">
        <v>1</v>
      </c>
      <c r="E116">
        <v>0</v>
      </c>
      <c r="F116">
        <v>1.1000000000000001</v>
      </c>
      <c r="G116">
        <v>5.0999999999999996</v>
      </c>
      <c r="H116">
        <v>1.1000000000000001</v>
      </c>
      <c r="I116">
        <v>0</v>
      </c>
      <c r="J116">
        <v>-0.99707354237246204</v>
      </c>
      <c r="K116">
        <v>-0.99364368343438803</v>
      </c>
      <c r="L116">
        <v>14.311593546664501</v>
      </c>
      <c r="M116">
        <v>64.4614079107252</v>
      </c>
      <c r="N116">
        <v>0.325137374860555</v>
      </c>
      <c r="O116">
        <v>4.1887901829277299</v>
      </c>
      <c r="P116">
        <v>-0.41149600699387701</v>
      </c>
      <c r="Q116">
        <v>5.5654725142685697</v>
      </c>
      <c r="R116">
        <v>12.5613059951138</v>
      </c>
      <c r="S116">
        <v>2.4627552206037899</v>
      </c>
      <c r="T116">
        <v>12.546119526006001</v>
      </c>
      <c r="U116">
        <v>-0.30727432775972802</v>
      </c>
      <c r="V116">
        <v>0.84692602276504803</v>
      </c>
      <c r="W116">
        <v>2</v>
      </c>
      <c r="X116">
        <v>172.688999349943</v>
      </c>
      <c r="Y116">
        <v>1</v>
      </c>
    </row>
    <row r="117" spans="1:25" x14ac:dyDescent="0.25">
      <c r="A117">
        <v>110</v>
      </c>
      <c r="B117">
        <v>2</v>
      </c>
      <c r="C117" s="1">
        <v>1000000</v>
      </c>
      <c r="D117">
        <v>1</v>
      </c>
      <c r="E117">
        <v>0</v>
      </c>
      <c r="F117">
        <v>1.125</v>
      </c>
      <c r="G117">
        <v>5.125</v>
      </c>
      <c r="H117">
        <v>1.125</v>
      </c>
      <c r="I117">
        <v>0</v>
      </c>
      <c r="J117">
        <v>-0.946451227212456</v>
      </c>
      <c r="K117">
        <v>-0.94677356006986502</v>
      </c>
      <c r="L117">
        <v>14.4645872843058</v>
      </c>
      <c r="M117">
        <v>64.569094046729603</v>
      </c>
      <c r="N117">
        <v>0.34847803432816599</v>
      </c>
      <c r="O117">
        <v>4.1887901845054598</v>
      </c>
      <c r="P117">
        <v>-0.369744610996393</v>
      </c>
      <c r="Q117">
        <v>5.4136457495488903</v>
      </c>
      <c r="R117">
        <v>12.561313798559301</v>
      </c>
      <c r="S117">
        <v>2.3302320948915498</v>
      </c>
      <c r="T117">
        <v>12.546150699452699</v>
      </c>
      <c r="U117">
        <v>-0.27146523886729801</v>
      </c>
      <c r="V117">
        <v>0.82238234776081198</v>
      </c>
      <c r="W117">
        <v>2</v>
      </c>
      <c r="X117">
        <v>171.94689543454999</v>
      </c>
      <c r="Y117">
        <v>1</v>
      </c>
    </row>
    <row r="118" spans="1:25" x14ac:dyDescent="0.25">
      <c r="A118">
        <v>110</v>
      </c>
      <c r="B118">
        <v>2</v>
      </c>
      <c r="C118" s="1">
        <v>1000000</v>
      </c>
      <c r="D118">
        <v>1</v>
      </c>
      <c r="E118">
        <v>0</v>
      </c>
      <c r="F118">
        <v>1.1499999999999999</v>
      </c>
      <c r="G118">
        <v>5.15</v>
      </c>
      <c r="H118">
        <v>1.1499999999999999</v>
      </c>
      <c r="I118">
        <v>0</v>
      </c>
      <c r="J118">
        <v>-0.88750821064781804</v>
      </c>
      <c r="K118">
        <v>-0.88129434126275796</v>
      </c>
      <c r="L118">
        <v>14.612257863735801</v>
      </c>
      <c r="M118">
        <v>64.6491396942004</v>
      </c>
      <c r="N118">
        <v>0.18107890223902501</v>
      </c>
      <c r="O118">
        <v>4.1887902048392904</v>
      </c>
      <c r="P118">
        <v>-0.31383572631726098</v>
      </c>
      <c r="Q118">
        <v>5.1804424222155001</v>
      </c>
      <c r="R118">
        <v>12.561321552111901</v>
      </c>
      <c r="S118">
        <v>2.13268306835108</v>
      </c>
      <c r="T118">
        <v>12.546181673932001</v>
      </c>
      <c r="U118">
        <v>-0.27576625088634299</v>
      </c>
      <c r="V118">
        <v>0.78398427074127097</v>
      </c>
      <c r="W118">
        <v>2</v>
      </c>
      <c r="X118">
        <v>170.4838601347</v>
      </c>
      <c r="Y118">
        <v>1</v>
      </c>
    </row>
    <row r="119" spans="1:25" x14ac:dyDescent="0.25">
      <c r="A119">
        <v>110</v>
      </c>
      <c r="B119">
        <v>2</v>
      </c>
      <c r="C119" s="1">
        <v>1000000</v>
      </c>
      <c r="D119">
        <v>1</v>
      </c>
      <c r="E119">
        <v>0</v>
      </c>
      <c r="F119">
        <v>1.175</v>
      </c>
      <c r="G119">
        <v>5.1749999999999998</v>
      </c>
      <c r="H119">
        <v>1.175</v>
      </c>
      <c r="I119">
        <v>0</v>
      </c>
      <c r="J119">
        <v>-7.2119127442912198E-2</v>
      </c>
      <c r="K119">
        <v>0</v>
      </c>
      <c r="L119">
        <v>14.933329559105699</v>
      </c>
      <c r="M119">
        <v>64.240198725259205</v>
      </c>
      <c r="N119" s="1">
        <v>6.1411155925110903E-7</v>
      </c>
      <c r="O119">
        <v>4.1887902047863097</v>
      </c>
      <c r="P119">
        <v>0.448252447459982</v>
      </c>
      <c r="Q119">
        <v>4.11406445785358E-2</v>
      </c>
      <c r="R119">
        <v>12.5613245834463</v>
      </c>
      <c r="S119">
        <v>1.3306346626448199E-4</v>
      </c>
      <c r="T119">
        <v>12.5461937849064</v>
      </c>
      <c r="U119">
        <v>-1.94834671507285E-2</v>
      </c>
      <c r="V119">
        <v>4.79078082334002E-3</v>
      </c>
      <c r="W119">
        <v>2</v>
      </c>
      <c r="X119">
        <v>149.691663436868</v>
      </c>
      <c r="Y119">
        <v>1</v>
      </c>
    </row>
    <row r="120" spans="1:25" x14ac:dyDescent="0.25">
      <c r="A120">
        <v>110</v>
      </c>
      <c r="B120">
        <v>2</v>
      </c>
      <c r="C120" s="1">
        <v>1000000</v>
      </c>
      <c r="D120">
        <v>1</v>
      </c>
      <c r="E120">
        <v>0</v>
      </c>
      <c r="F120">
        <v>1.2</v>
      </c>
      <c r="G120">
        <v>5.2</v>
      </c>
      <c r="H120">
        <v>1.2</v>
      </c>
      <c r="I120">
        <v>0</v>
      </c>
      <c r="J120">
        <v>-0.11917613381855301</v>
      </c>
      <c r="K120">
        <v>0</v>
      </c>
      <c r="L120">
        <v>14.978327608349099</v>
      </c>
      <c r="M120">
        <v>64.284689739589396</v>
      </c>
      <c r="N120" s="1">
        <v>8.7603162515210404E-5</v>
      </c>
      <c r="O120">
        <v>4.1887902047863204</v>
      </c>
      <c r="P120">
        <v>0.41195531238639899</v>
      </c>
      <c r="Q120">
        <v>0.42664745261554399</v>
      </c>
      <c r="R120">
        <v>12.561324617596799</v>
      </c>
      <c r="S120" s="1">
        <v>-1.9989811590629199E-5</v>
      </c>
      <c r="T120">
        <v>12.546193921344001</v>
      </c>
      <c r="U120">
        <v>-2.8756422775698301E-2</v>
      </c>
      <c r="V120">
        <v>1.8858667928750501E-3</v>
      </c>
      <c r="W120">
        <v>2</v>
      </c>
      <c r="X120">
        <v>150.886849027056</v>
      </c>
      <c r="Y120">
        <v>1</v>
      </c>
    </row>
    <row r="121" spans="1:25" x14ac:dyDescent="0.25">
      <c r="A121">
        <v>110</v>
      </c>
      <c r="B121">
        <v>2</v>
      </c>
      <c r="C121" s="1">
        <v>1000000</v>
      </c>
      <c r="D121">
        <v>1</v>
      </c>
      <c r="E121">
        <v>0</v>
      </c>
      <c r="F121">
        <v>1.2250000000000001</v>
      </c>
      <c r="G121">
        <v>5.2249999999999996</v>
      </c>
      <c r="H121">
        <v>1.2250000000000001</v>
      </c>
      <c r="I121">
        <v>0</v>
      </c>
      <c r="J121">
        <v>-1.7195758164209201</v>
      </c>
      <c r="K121">
        <v>0</v>
      </c>
      <c r="L121">
        <v>14.966862802765901</v>
      </c>
      <c r="M121">
        <v>64.272384684590193</v>
      </c>
      <c r="N121">
        <v>1.71453580685048E-3</v>
      </c>
      <c r="O121">
        <v>4.1887902047862502</v>
      </c>
      <c r="P121">
        <v>0.43059918978207501</v>
      </c>
      <c r="Q121">
        <v>0.52983651995403602</v>
      </c>
      <c r="R121">
        <v>12.561324620361299</v>
      </c>
      <c r="S121">
        <v>-1.1920997192471699E-4</v>
      </c>
      <c r="T121">
        <v>12.5461939323888</v>
      </c>
      <c r="U121">
        <v>-7.4436123264710998E-3</v>
      </c>
      <c r="V121">
        <v>1.92841531508052E-4</v>
      </c>
      <c r="W121">
        <v>2</v>
      </c>
      <c r="X121">
        <v>150.116190894357</v>
      </c>
      <c r="Y121">
        <v>1</v>
      </c>
    </row>
    <row r="122" spans="1:25" x14ac:dyDescent="0.25">
      <c r="A122">
        <v>110</v>
      </c>
      <c r="B122">
        <v>2</v>
      </c>
      <c r="C122" s="1">
        <v>1000000</v>
      </c>
      <c r="D122">
        <v>1</v>
      </c>
      <c r="E122">
        <v>0</v>
      </c>
      <c r="F122">
        <v>1.25</v>
      </c>
      <c r="G122">
        <v>5.25</v>
      </c>
      <c r="H122">
        <v>1.25</v>
      </c>
      <c r="I122">
        <v>0</v>
      </c>
      <c r="J122">
        <v>-0.104865602910686</v>
      </c>
      <c r="K122">
        <v>0</v>
      </c>
      <c r="L122">
        <v>15.030856966875801</v>
      </c>
      <c r="M122">
        <v>64.335744635940301</v>
      </c>
      <c r="N122" s="1">
        <v>9.8443105039408899E-5</v>
      </c>
      <c r="O122">
        <v>4.1887902047863301</v>
      </c>
      <c r="P122">
        <v>0.38957401684734699</v>
      </c>
      <c r="Q122">
        <v>0.26610851674331198</v>
      </c>
      <c r="R122">
        <v>12.5613246238845</v>
      </c>
      <c r="S122" s="1">
        <v>3.2677806027570899E-5</v>
      </c>
      <c r="T122">
        <v>12.546193946464699</v>
      </c>
      <c r="U122">
        <v>-4.2850825906403101E-2</v>
      </c>
      <c r="V122">
        <v>1.4238105604969499E-4</v>
      </c>
      <c r="W122">
        <v>2</v>
      </c>
      <c r="X122">
        <v>151.58032995766499</v>
      </c>
      <c r="Y122">
        <v>1</v>
      </c>
    </row>
    <row r="123" spans="1:25" x14ac:dyDescent="0.25">
      <c r="A123">
        <v>110</v>
      </c>
      <c r="B123">
        <v>2</v>
      </c>
      <c r="C123" s="1">
        <v>1000000</v>
      </c>
      <c r="D123">
        <v>1</v>
      </c>
      <c r="E123">
        <v>0</v>
      </c>
      <c r="F123">
        <v>1.2749999999999999</v>
      </c>
      <c r="G123">
        <v>5.2750000000000004</v>
      </c>
      <c r="H123">
        <v>1.2749999999999999</v>
      </c>
      <c r="I123">
        <v>0</v>
      </c>
      <c r="J123">
        <v>0.35277059811630301</v>
      </c>
      <c r="K123">
        <v>0</v>
      </c>
      <c r="L123">
        <v>14.9984822004294</v>
      </c>
      <c r="M123">
        <v>64.302583318204</v>
      </c>
      <c r="N123">
        <v>8.6748290039044204E-4</v>
      </c>
      <c r="O123">
        <v>4.1887902047863097</v>
      </c>
      <c r="P123">
        <v>0.40992393915140501</v>
      </c>
      <c r="Q123">
        <v>0.199262820968474</v>
      </c>
      <c r="R123">
        <v>12.561324621497899</v>
      </c>
      <c r="S123" s="1">
        <v>-2.46537919557437E-5</v>
      </c>
      <c r="T123">
        <v>12.5461939369298</v>
      </c>
      <c r="U123">
        <v>-2.68335099034256E-2</v>
      </c>
      <c r="V123">
        <v>4.7664546631997898E-4</v>
      </c>
      <c r="W123">
        <v>2</v>
      </c>
      <c r="X123">
        <v>150.89467534967301</v>
      </c>
      <c r="Y123">
        <v>1</v>
      </c>
    </row>
    <row r="124" spans="1:25" x14ac:dyDescent="0.25">
      <c r="A124">
        <v>110</v>
      </c>
      <c r="B124">
        <v>2</v>
      </c>
      <c r="C124" s="1">
        <v>1000000</v>
      </c>
      <c r="D124">
        <v>1</v>
      </c>
      <c r="E124">
        <v>0</v>
      </c>
      <c r="F124">
        <v>1.3</v>
      </c>
      <c r="G124">
        <v>5.3</v>
      </c>
      <c r="H124">
        <v>1.3</v>
      </c>
      <c r="I124">
        <v>0</v>
      </c>
      <c r="J124">
        <v>-0.23967662374845</v>
      </c>
      <c r="K124">
        <v>0</v>
      </c>
      <c r="L124">
        <v>14.9792845956388</v>
      </c>
      <c r="M124">
        <v>64.283348541154993</v>
      </c>
      <c r="N124">
        <v>7.1319642325895895E-4</v>
      </c>
      <c r="O124">
        <v>4.1887902047863204</v>
      </c>
      <c r="P124">
        <v>0.42679566104059202</v>
      </c>
      <c r="Q124">
        <v>0.54031830293483796</v>
      </c>
      <c r="R124">
        <v>12.561324617199601</v>
      </c>
      <c r="S124">
        <v>2.1370967641722E-4</v>
      </c>
      <c r="T124">
        <v>12.5461939197571</v>
      </c>
      <c r="U124">
        <v>-2.7684445961307199E-4</v>
      </c>
      <c r="V124">
        <v>9.5690754967896403E-4</v>
      </c>
      <c r="W124">
        <v>2</v>
      </c>
      <c r="X124">
        <v>150.34283794101199</v>
      </c>
      <c r="Y124">
        <v>1</v>
      </c>
    </row>
    <row r="125" spans="1:25" x14ac:dyDescent="0.25">
      <c r="A125">
        <v>124</v>
      </c>
      <c r="B125">
        <v>2</v>
      </c>
      <c r="C125" s="1">
        <v>1000000</v>
      </c>
      <c r="D125">
        <v>1</v>
      </c>
      <c r="E125">
        <v>0</v>
      </c>
      <c r="F125">
        <v>0.3</v>
      </c>
      <c r="G125">
        <v>4.3</v>
      </c>
      <c r="H125">
        <v>0.3</v>
      </c>
      <c r="I125">
        <v>0</v>
      </c>
      <c r="J125">
        <v>-0.378676940385821</v>
      </c>
      <c r="K125">
        <v>-0.60700364076153501</v>
      </c>
      <c r="L125">
        <v>-2.7721077221055701</v>
      </c>
      <c r="M125">
        <v>55.137069392286797</v>
      </c>
      <c r="N125">
        <v>4.3411888165690801E-4</v>
      </c>
      <c r="O125">
        <v>4.1887902047500196</v>
      </c>
      <c r="P125">
        <v>0.50177525018956004</v>
      </c>
      <c r="Q125">
        <v>13.9103139665039</v>
      </c>
      <c r="R125">
        <v>12.5613245262515</v>
      </c>
      <c r="S125">
        <v>15.3818996937687</v>
      </c>
      <c r="T125">
        <v>12.5461935564028</v>
      </c>
      <c r="U125">
        <v>4.0123537926975199E-2</v>
      </c>
      <c r="V125">
        <v>2</v>
      </c>
      <c r="W125">
        <v>2.22925</v>
      </c>
      <c r="X125">
        <v>52.9451647246118</v>
      </c>
      <c r="Y125">
        <v>1</v>
      </c>
    </row>
    <row r="126" spans="1:25" x14ac:dyDescent="0.25">
      <c r="A126">
        <v>124</v>
      </c>
      <c r="B126">
        <v>2</v>
      </c>
      <c r="C126" s="1">
        <v>1000000</v>
      </c>
      <c r="D126">
        <v>1</v>
      </c>
      <c r="E126">
        <v>0</v>
      </c>
      <c r="F126">
        <v>0.32500000000000001</v>
      </c>
      <c r="G126">
        <v>4.3250000000000002</v>
      </c>
      <c r="H126">
        <v>0.32500000000000001</v>
      </c>
      <c r="I126">
        <v>0</v>
      </c>
      <c r="J126">
        <v>-4.99700355658302</v>
      </c>
      <c r="K126">
        <v>-4.8238132956782502</v>
      </c>
      <c r="L126">
        <v>-2.3491203958741802</v>
      </c>
      <c r="M126">
        <v>54.627076049601698</v>
      </c>
      <c r="N126">
        <v>1.7531138468139602E-2</v>
      </c>
      <c r="O126">
        <v>4.18879020478622</v>
      </c>
      <c r="P126">
        <v>-1.4162085346554401</v>
      </c>
      <c r="Q126">
        <v>13.1330415839334</v>
      </c>
      <c r="R126">
        <v>12.561323965177399</v>
      </c>
      <c r="S126">
        <v>13.713466226003</v>
      </c>
      <c r="T126">
        <v>12.5461913148111</v>
      </c>
      <c r="U126">
        <v>5.4557604796826101E-2</v>
      </c>
      <c r="V126">
        <v>1.99802148133242</v>
      </c>
      <c r="W126">
        <v>2.0922900000000002</v>
      </c>
      <c r="X126">
        <v>89.789050320875404</v>
      </c>
      <c r="Y126">
        <v>1</v>
      </c>
    </row>
    <row r="127" spans="1:25" x14ac:dyDescent="0.25">
      <c r="A127">
        <v>124</v>
      </c>
      <c r="B127">
        <v>2</v>
      </c>
      <c r="C127" s="1">
        <v>1000000</v>
      </c>
      <c r="D127">
        <v>1</v>
      </c>
      <c r="E127">
        <v>0</v>
      </c>
      <c r="F127">
        <v>0.35</v>
      </c>
      <c r="G127">
        <v>4.3499999999999996</v>
      </c>
      <c r="H127">
        <v>0.35</v>
      </c>
      <c r="I127">
        <v>0</v>
      </c>
      <c r="J127">
        <v>-7.3947899970389201</v>
      </c>
      <c r="K127">
        <v>-7.3868946272644003</v>
      </c>
      <c r="L127">
        <v>-1.35495654717612</v>
      </c>
      <c r="M127">
        <v>54.855876099225</v>
      </c>
      <c r="N127">
        <v>0.172014946723059</v>
      </c>
      <c r="O127">
        <v>4.1887902026574899</v>
      </c>
      <c r="P127">
        <v>-2.9228647205557401</v>
      </c>
      <c r="Q127">
        <v>12.4609993902433</v>
      </c>
      <c r="R127">
        <v>12.5613009505397</v>
      </c>
      <c r="S127">
        <v>12.344940512592</v>
      </c>
      <c r="T127">
        <v>12.5460993701191</v>
      </c>
      <c r="U127">
        <v>7.38474125064746E-2</v>
      </c>
      <c r="V127">
        <v>1.9302239158226699</v>
      </c>
      <c r="W127">
        <v>2</v>
      </c>
      <c r="X127">
        <v>123.57833600835799</v>
      </c>
      <c r="Y127">
        <v>1</v>
      </c>
    </row>
    <row r="128" spans="1:25" x14ac:dyDescent="0.25">
      <c r="A128">
        <v>124</v>
      </c>
      <c r="B128">
        <v>2</v>
      </c>
      <c r="C128" s="1">
        <v>1000000</v>
      </c>
      <c r="D128">
        <v>1</v>
      </c>
      <c r="E128">
        <v>0</v>
      </c>
      <c r="F128">
        <v>0.375</v>
      </c>
      <c r="G128">
        <v>4.375</v>
      </c>
      <c r="H128">
        <v>0.375</v>
      </c>
      <c r="I128">
        <v>0</v>
      </c>
      <c r="J128">
        <v>-7.7275759651207796</v>
      </c>
      <c r="K128">
        <v>-7.7130853855564299</v>
      </c>
      <c r="L128">
        <v>-0.14970550602566901</v>
      </c>
      <c r="M128">
        <v>55.476066772458701</v>
      </c>
      <c r="N128">
        <v>7.3372013298403302E-2</v>
      </c>
      <c r="O128">
        <v>4.1887902046571002</v>
      </c>
      <c r="P128">
        <v>-3.41420615715501</v>
      </c>
      <c r="Q128">
        <v>11.922122717306999</v>
      </c>
      <c r="R128">
        <v>12.561185694144999</v>
      </c>
      <c r="S128">
        <v>11.299510139258</v>
      </c>
      <c r="T128">
        <v>12.5456389035529</v>
      </c>
      <c r="U128">
        <v>8.2385557323448003E-2</v>
      </c>
      <c r="V128">
        <v>1.8514139468980999</v>
      </c>
      <c r="W128">
        <v>2</v>
      </c>
      <c r="X128">
        <v>147.127837546894</v>
      </c>
      <c r="Y128">
        <v>1</v>
      </c>
    </row>
    <row r="129" spans="1:25" x14ac:dyDescent="0.25">
      <c r="A129">
        <v>124</v>
      </c>
      <c r="B129">
        <v>2</v>
      </c>
      <c r="C129" s="1">
        <v>1000000</v>
      </c>
      <c r="D129">
        <v>1</v>
      </c>
      <c r="E129">
        <v>0</v>
      </c>
      <c r="F129">
        <v>0.4</v>
      </c>
      <c r="G129">
        <v>4.4000000000000004</v>
      </c>
      <c r="H129">
        <v>0.4</v>
      </c>
      <c r="I129">
        <v>0</v>
      </c>
      <c r="J129">
        <v>-7.1920123191239096</v>
      </c>
      <c r="K129">
        <v>-7.1723485607968902</v>
      </c>
      <c r="L129">
        <v>1.02321798601384</v>
      </c>
      <c r="M129">
        <v>56.196511091961199</v>
      </c>
      <c r="N129">
        <v>6.4004073378130202E-2</v>
      </c>
      <c r="O129">
        <v>4.1887901951952902</v>
      </c>
      <c r="P129">
        <v>-3.38816366926125</v>
      </c>
      <c r="Q129">
        <v>11.4869757765792</v>
      </c>
      <c r="R129">
        <v>12.561229559403399</v>
      </c>
      <c r="S129">
        <v>10.490066021251399</v>
      </c>
      <c r="T129">
        <v>12.5458141065596</v>
      </c>
      <c r="U129">
        <v>0.10280042503148</v>
      </c>
      <c r="V129">
        <v>1.78326294724571</v>
      </c>
      <c r="W129">
        <v>2</v>
      </c>
      <c r="X129">
        <v>161.644344532693</v>
      </c>
      <c r="Y129">
        <v>1</v>
      </c>
    </row>
    <row r="130" spans="1:25" x14ac:dyDescent="0.25">
      <c r="A130">
        <v>124</v>
      </c>
      <c r="B130">
        <v>2</v>
      </c>
      <c r="C130" s="1">
        <v>1000000</v>
      </c>
      <c r="D130">
        <v>1</v>
      </c>
      <c r="E130">
        <v>0</v>
      </c>
      <c r="F130">
        <v>0.42499999999999999</v>
      </c>
      <c r="G130">
        <v>4.4249999999999998</v>
      </c>
      <c r="H130">
        <v>0.42499999999999999</v>
      </c>
      <c r="I130">
        <v>0</v>
      </c>
      <c r="J130">
        <v>-6.4878984714416301</v>
      </c>
      <c r="K130">
        <v>-6.4778559222728003</v>
      </c>
      <c r="L130">
        <v>2.0928567325765299</v>
      </c>
      <c r="M130">
        <v>56.903296988410297</v>
      </c>
      <c r="N130">
        <v>5.66808392544879E-2</v>
      </c>
      <c r="O130">
        <v>4.1887902043188499</v>
      </c>
      <c r="P130">
        <v>-3.1986982267391402</v>
      </c>
      <c r="Q130">
        <v>11.125384925313099</v>
      </c>
      <c r="R130">
        <v>12.561261741079701</v>
      </c>
      <c r="S130">
        <v>9.8409430366048092</v>
      </c>
      <c r="T130">
        <v>12.5459426927212</v>
      </c>
      <c r="U130">
        <v>0.113229318539146</v>
      </c>
      <c r="V130">
        <v>1.7213624759841299</v>
      </c>
      <c r="W130">
        <v>2</v>
      </c>
      <c r="X130">
        <v>171.97784025997501</v>
      </c>
      <c r="Y130">
        <v>1</v>
      </c>
    </row>
    <row r="131" spans="1:25" x14ac:dyDescent="0.25">
      <c r="A131">
        <v>124</v>
      </c>
      <c r="B131">
        <v>2</v>
      </c>
      <c r="C131" s="1">
        <v>1000000</v>
      </c>
      <c r="D131">
        <v>1</v>
      </c>
      <c r="E131">
        <v>0</v>
      </c>
      <c r="F131">
        <v>0.45</v>
      </c>
      <c r="G131">
        <v>4.45</v>
      </c>
      <c r="H131">
        <v>0.45</v>
      </c>
      <c r="I131">
        <v>0</v>
      </c>
      <c r="J131">
        <v>-5.8414931760175701</v>
      </c>
      <c r="K131">
        <v>-5.8332922291869398</v>
      </c>
      <c r="L131">
        <v>3.0575985920244899</v>
      </c>
      <c r="M131">
        <v>57.562065235014899</v>
      </c>
      <c r="N131">
        <v>0.100587410765331</v>
      </c>
      <c r="O131">
        <v>4.18879020480927</v>
      </c>
      <c r="P131">
        <v>-2.97933788485728</v>
      </c>
      <c r="Q131">
        <v>10.811639586121199</v>
      </c>
      <c r="R131">
        <v>12.5613079095461</v>
      </c>
      <c r="S131">
        <v>9.2934744762662795</v>
      </c>
      <c r="T131">
        <v>12.5461271661196</v>
      </c>
      <c r="U131">
        <v>0.12076027182481</v>
      </c>
      <c r="V131">
        <v>1.6685252644343</v>
      </c>
      <c r="W131">
        <v>2</v>
      </c>
      <c r="X131">
        <v>132.70318600079099</v>
      </c>
      <c r="Y131">
        <v>1</v>
      </c>
    </row>
    <row r="132" spans="1:25" x14ac:dyDescent="0.25">
      <c r="A132">
        <v>124</v>
      </c>
      <c r="B132">
        <v>2</v>
      </c>
      <c r="C132" s="1">
        <v>1000000</v>
      </c>
      <c r="D132">
        <v>1</v>
      </c>
      <c r="E132">
        <v>0</v>
      </c>
      <c r="F132">
        <v>0.47499999999999998</v>
      </c>
      <c r="G132">
        <v>4.4749999999999996</v>
      </c>
      <c r="H132">
        <v>0.47499999999999998</v>
      </c>
      <c r="I132">
        <v>0</v>
      </c>
      <c r="J132">
        <v>-5.2759399061118701</v>
      </c>
      <c r="K132">
        <v>-5.2696481488553797</v>
      </c>
      <c r="L132">
        <v>3.92912166165386</v>
      </c>
      <c r="M132">
        <v>58.163219261459801</v>
      </c>
      <c r="N132">
        <v>0.11549854199750099</v>
      </c>
      <c r="O132">
        <v>4.1887901897035897</v>
      </c>
      <c r="P132">
        <v>-2.7675206724938399</v>
      </c>
      <c r="Q132">
        <v>10.5271604149616</v>
      </c>
      <c r="R132">
        <v>12.561252338627201</v>
      </c>
      <c r="S132">
        <v>8.8103277958915296</v>
      </c>
      <c r="T132">
        <v>12.545905124533499</v>
      </c>
      <c r="U132">
        <v>0.14556253797861099</v>
      </c>
      <c r="V132">
        <v>1.62362574206139</v>
      </c>
      <c r="W132">
        <v>2</v>
      </c>
      <c r="X132">
        <v>-144.20061396942299</v>
      </c>
      <c r="Y132">
        <v>1</v>
      </c>
    </row>
    <row r="133" spans="1:25" x14ac:dyDescent="0.25">
      <c r="A133">
        <v>124</v>
      </c>
      <c r="B133">
        <v>2</v>
      </c>
      <c r="C133" s="1">
        <v>1000000</v>
      </c>
      <c r="D133">
        <v>1</v>
      </c>
      <c r="E133">
        <v>0</v>
      </c>
      <c r="F133">
        <v>0.5</v>
      </c>
      <c r="G133">
        <v>4.5</v>
      </c>
      <c r="H133">
        <v>0.5</v>
      </c>
      <c r="I133">
        <v>0</v>
      </c>
      <c r="J133">
        <v>-4.7952733885390098</v>
      </c>
      <c r="K133">
        <v>-4.78978770629565</v>
      </c>
      <c r="L133">
        <v>4.7191216069697299</v>
      </c>
      <c r="M133">
        <v>58.716157847674097</v>
      </c>
      <c r="N133">
        <v>3.3729753097388402E-4</v>
      </c>
      <c r="O133">
        <v>4.1887902047864101</v>
      </c>
      <c r="P133">
        <v>-2.5733829828641102</v>
      </c>
      <c r="Q133">
        <v>10.270336324041301</v>
      </c>
      <c r="R133">
        <v>12.561297774223901</v>
      </c>
      <c r="S133">
        <v>8.3860930102524094</v>
      </c>
      <c r="T133">
        <v>12.546086669953</v>
      </c>
      <c r="U133">
        <v>0.15729874078587699</v>
      </c>
      <c r="V133">
        <v>1.5794377428967601</v>
      </c>
      <c r="W133">
        <v>2</v>
      </c>
      <c r="X133">
        <v>-164.41380466920899</v>
      </c>
      <c r="Y133">
        <v>1</v>
      </c>
    </row>
    <row r="134" spans="1:25" x14ac:dyDescent="0.25">
      <c r="A134">
        <v>124</v>
      </c>
      <c r="B134">
        <v>2</v>
      </c>
      <c r="C134" s="1">
        <v>1000000</v>
      </c>
      <c r="D134">
        <v>1</v>
      </c>
      <c r="E134">
        <v>0</v>
      </c>
      <c r="F134">
        <v>0.52500000000000002</v>
      </c>
      <c r="G134">
        <v>4.5250000000000004</v>
      </c>
      <c r="H134">
        <v>0.52500000000000002</v>
      </c>
      <c r="I134">
        <v>0</v>
      </c>
      <c r="J134">
        <v>-4.3936605183488098</v>
      </c>
      <c r="K134">
        <v>-4.3813039292622502</v>
      </c>
      <c r="L134">
        <v>5.4394211156372601</v>
      </c>
      <c r="M134">
        <v>59.223246531717102</v>
      </c>
      <c r="N134">
        <v>1.1518253484662101E-3</v>
      </c>
      <c r="O134">
        <v>4.1887902047864296</v>
      </c>
      <c r="P134">
        <v>-2.3997309811177798</v>
      </c>
      <c r="Q134">
        <v>10.034476310112799</v>
      </c>
      <c r="R134">
        <v>12.561285219474399</v>
      </c>
      <c r="S134">
        <v>8.0048916915195303</v>
      </c>
      <c r="T134">
        <v>12.546036507456201</v>
      </c>
      <c r="U134">
        <v>0.16900284289400699</v>
      </c>
      <c r="V134">
        <v>1.5398083175295201</v>
      </c>
      <c r="W134">
        <v>2</v>
      </c>
      <c r="X134">
        <v>-162.26340668446301</v>
      </c>
      <c r="Y134">
        <v>1</v>
      </c>
    </row>
    <row r="135" spans="1:25" x14ac:dyDescent="0.25">
      <c r="A135">
        <v>124</v>
      </c>
      <c r="B135">
        <v>2</v>
      </c>
      <c r="C135" s="1">
        <v>1000000</v>
      </c>
      <c r="D135">
        <v>1</v>
      </c>
      <c r="E135">
        <v>0</v>
      </c>
      <c r="F135">
        <v>0.55000000000000004</v>
      </c>
      <c r="G135">
        <v>4.55</v>
      </c>
      <c r="H135">
        <v>0.55000000000000004</v>
      </c>
      <c r="I135">
        <v>0</v>
      </c>
      <c r="J135">
        <v>-4.0372968184891098</v>
      </c>
      <c r="K135">
        <v>-4.0297873584974901</v>
      </c>
      <c r="L135">
        <v>6.0986785556441196</v>
      </c>
      <c r="M135">
        <v>59.688582472213</v>
      </c>
      <c r="N135">
        <v>0.19918743039064801</v>
      </c>
      <c r="O135">
        <v>4.18879020108389</v>
      </c>
      <c r="P135">
        <v>-2.2436444862081402</v>
      </c>
      <c r="Q135">
        <v>9.8150023288428407</v>
      </c>
      <c r="R135">
        <v>12.561232750521</v>
      </c>
      <c r="S135">
        <v>7.6584749153745699</v>
      </c>
      <c r="T135">
        <v>12.545826868253799</v>
      </c>
      <c r="U135">
        <v>0.188105685325205</v>
      </c>
      <c r="V135">
        <v>1.5020909958561499</v>
      </c>
      <c r="W135">
        <v>2</v>
      </c>
      <c r="X135">
        <v>-171.31470834286401</v>
      </c>
      <c r="Y135">
        <v>1</v>
      </c>
    </row>
    <row r="136" spans="1:25" x14ac:dyDescent="0.25">
      <c r="A136">
        <v>124</v>
      </c>
      <c r="B136">
        <v>2</v>
      </c>
      <c r="C136" s="1">
        <v>1000000</v>
      </c>
      <c r="D136">
        <v>1</v>
      </c>
      <c r="E136">
        <v>0</v>
      </c>
      <c r="F136">
        <v>0.57499999999999996</v>
      </c>
      <c r="G136">
        <v>4.5750000000000002</v>
      </c>
      <c r="H136">
        <v>0.57499999999999996</v>
      </c>
      <c r="I136">
        <v>0</v>
      </c>
      <c r="J136">
        <v>-3.73150614409741</v>
      </c>
      <c r="K136">
        <v>-3.72489839552874</v>
      </c>
      <c r="L136">
        <v>6.7082282619171298</v>
      </c>
      <c r="M136">
        <v>60.1197854278862</v>
      </c>
      <c r="N136">
        <v>0.25907767977829899</v>
      </c>
      <c r="O136">
        <v>4.1887901752487497</v>
      </c>
      <c r="P136">
        <v>-2.10336854759514</v>
      </c>
      <c r="Q136">
        <v>9.6087496111480597</v>
      </c>
      <c r="R136">
        <v>12.561203148617601</v>
      </c>
      <c r="S136">
        <v>7.33975623732639</v>
      </c>
      <c r="T136">
        <v>12.545708587640499</v>
      </c>
      <c r="U136">
        <v>0.20321776743897399</v>
      </c>
      <c r="V136">
        <v>1.46559350555807</v>
      </c>
      <c r="W136">
        <v>2</v>
      </c>
      <c r="X136">
        <v>-170.51021378272</v>
      </c>
      <c r="Y136">
        <v>1</v>
      </c>
    </row>
    <row r="137" spans="1:25" x14ac:dyDescent="0.25">
      <c r="A137">
        <v>124</v>
      </c>
      <c r="B137">
        <v>2</v>
      </c>
      <c r="C137" s="1">
        <v>1000000</v>
      </c>
      <c r="D137">
        <v>1</v>
      </c>
      <c r="E137">
        <v>0</v>
      </c>
      <c r="F137">
        <v>0.6</v>
      </c>
      <c r="G137">
        <v>4.5999999999999996</v>
      </c>
      <c r="H137">
        <v>0.6</v>
      </c>
      <c r="I137">
        <v>0</v>
      </c>
      <c r="J137">
        <v>-3.4639629803894501</v>
      </c>
      <c r="K137">
        <v>-3.45762782080971</v>
      </c>
      <c r="L137">
        <v>7.2728414068386096</v>
      </c>
      <c r="M137">
        <v>60.518502550770002</v>
      </c>
      <c r="N137">
        <v>0.23537853812435799</v>
      </c>
      <c r="O137">
        <v>4.1887901941843397</v>
      </c>
      <c r="P137">
        <v>-1.9765168907633099</v>
      </c>
      <c r="Q137">
        <v>9.41280612848076</v>
      </c>
      <c r="R137">
        <v>12.5611634996964</v>
      </c>
      <c r="S137">
        <v>7.0433733416483797</v>
      </c>
      <c r="T137">
        <v>12.545550157172899</v>
      </c>
      <c r="U137">
        <v>0.208167794003183</v>
      </c>
      <c r="V137">
        <v>1.4326637784690399</v>
      </c>
      <c r="W137">
        <v>2</v>
      </c>
      <c r="X137">
        <v>-159.54791193035999</v>
      </c>
      <c r="Y137">
        <v>1</v>
      </c>
    </row>
    <row r="138" spans="1:25" x14ac:dyDescent="0.25">
      <c r="A138">
        <v>124</v>
      </c>
      <c r="B138">
        <v>2</v>
      </c>
      <c r="C138" s="1">
        <v>1000000</v>
      </c>
      <c r="D138">
        <v>1</v>
      </c>
      <c r="E138">
        <v>0</v>
      </c>
      <c r="F138">
        <v>0.625</v>
      </c>
      <c r="G138">
        <v>4.625</v>
      </c>
      <c r="H138">
        <v>0.625</v>
      </c>
      <c r="I138">
        <v>0</v>
      </c>
      <c r="J138">
        <v>-3.2278340384379298</v>
      </c>
      <c r="K138">
        <v>-3.21844048151398</v>
      </c>
      <c r="L138">
        <v>7.7979610647048503</v>
      </c>
      <c r="M138">
        <v>60.884699569293801</v>
      </c>
      <c r="N138">
        <v>0.25235330795229999</v>
      </c>
      <c r="O138">
        <v>4.1887901990249699</v>
      </c>
      <c r="P138">
        <v>-1.86068908323694</v>
      </c>
      <c r="Q138">
        <v>9.2212017687468499</v>
      </c>
      <c r="R138">
        <v>12.5611182655754</v>
      </c>
      <c r="S138">
        <v>6.7595039538783999</v>
      </c>
      <c r="T138">
        <v>12.545369403219899</v>
      </c>
      <c r="U138">
        <v>0.21306431758602301</v>
      </c>
      <c r="V138">
        <v>1.39980419735412</v>
      </c>
      <c r="W138">
        <v>2</v>
      </c>
      <c r="X138">
        <v>-164.69479880942501</v>
      </c>
      <c r="Y138">
        <v>1</v>
      </c>
    </row>
    <row r="139" spans="1:25" x14ac:dyDescent="0.25">
      <c r="A139">
        <v>124</v>
      </c>
      <c r="B139">
        <v>2</v>
      </c>
      <c r="C139" s="1">
        <v>1000000</v>
      </c>
      <c r="D139">
        <v>1</v>
      </c>
      <c r="E139">
        <v>0</v>
      </c>
      <c r="F139">
        <v>0.65</v>
      </c>
      <c r="G139">
        <v>4.6500000000000004</v>
      </c>
      <c r="H139">
        <v>0.65</v>
      </c>
      <c r="I139">
        <v>0</v>
      </c>
      <c r="J139">
        <v>-3.0170734233352601</v>
      </c>
      <c r="K139">
        <v>-3.0118805134583102</v>
      </c>
      <c r="L139">
        <v>8.2881143423954509</v>
      </c>
      <c r="M139">
        <v>61.233841293390498</v>
      </c>
      <c r="N139">
        <v>0.32682223232525498</v>
      </c>
      <c r="O139">
        <v>4.1887902091427804</v>
      </c>
      <c r="P139">
        <v>-1.75540701461113</v>
      </c>
      <c r="Q139">
        <v>9.0476922518988196</v>
      </c>
      <c r="R139">
        <v>12.5610949582675</v>
      </c>
      <c r="S139">
        <v>6.5075087841853501</v>
      </c>
      <c r="T139">
        <v>12.5452762623877</v>
      </c>
      <c r="U139">
        <v>0.22489371647364101</v>
      </c>
      <c r="V139">
        <v>1.36874587039411</v>
      </c>
      <c r="W139">
        <v>2</v>
      </c>
      <c r="X139">
        <v>-164.667757803135</v>
      </c>
      <c r="Y139">
        <v>1</v>
      </c>
    </row>
    <row r="140" spans="1:25" x14ac:dyDescent="0.25">
      <c r="A140">
        <v>124</v>
      </c>
      <c r="B140">
        <v>2</v>
      </c>
      <c r="C140" s="1">
        <v>1000000</v>
      </c>
      <c r="D140">
        <v>1</v>
      </c>
      <c r="E140">
        <v>0</v>
      </c>
      <c r="F140">
        <v>0.67500000000000004</v>
      </c>
      <c r="G140">
        <v>4.6749999999999998</v>
      </c>
      <c r="H140">
        <v>0.67500000000000004</v>
      </c>
      <c r="I140">
        <v>0</v>
      </c>
      <c r="J140">
        <v>-2.8305957363757401</v>
      </c>
      <c r="K140">
        <v>-2.8242245889651501</v>
      </c>
      <c r="L140">
        <v>8.7470523077633793</v>
      </c>
      <c r="M140">
        <v>61.555173101761703</v>
      </c>
      <c r="N140">
        <v>5.2120269907099601E-2</v>
      </c>
      <c r="O140">
        <v>4.1887902118437399</v>
      </c>
      <c r="P140">
        <v>-1.6588275142617299</v>
      </c>
      <c r="Q140">
        <v>8.8753272536644303</v>
      </c>
      <c r="R140">
        <v>12.5610528703527</v>
      </c>
      <c r="S140">
        <v>6.2617400484669599</v>
      </c>
      <c r="T140">
        <v>12.545108074185199</v>
      </c>
      <c r="U140">
        <v>0.22580433501296199</v>
      </c>
      <c r="V140">
        <v>1.3385456674421601</v>
      </c>
      <c r="W140">
        <v>2</v>
      </c>
      <c r="X140">
        <v>-164.783349348082</v>
      </c>
      <c r="Y140">
        <v>1</v>
      </c>
    </row>
    <row r="141" spans="1:25" x14ac:dyDescent="0.25">
      <c r="A141">
        <v>124</v>
      </c>
      <c r="B141">
        <v>2</v>
      </c>
      <c r="C141" s="1">
        <v>1000000</v>
      </c>
      <c r="D141">
        <v>1</v>
      </c>
      <c r="E141">
        <v>0</v>
      </c>
      <c r="F141">
        <v>0.7</v>
      </c>
      <c r="G141">
        <v>4.7</v>
      </c>
      <c r="H141">
        <v>0.7</v>
      </c>
      <c r="I141">
        <v>0</v>
      </c>
      <c r="J141">
        <v>-2.6602476486747801</v>
      </c>
      <c r="K141">
        <v>-2.6510038406037499</v>
      </c>
      <c r="L141">
        <v>9.1779431393798596</v>
      </c>
      <c r="M141">
        <v>61.852982454818097</v>
      </c>
      <c r="N141">
        <v>9.5179683952763602E-3</v>
      </c>
      <c r="O141">
        <v>4.1887902063055602</v>
      </c>
      <c r="P141">
        <v>-1.5671348212340199</v>
      </c>
      <c r="Q141">
        <v>8.7051162178098505</v>
      </c>
      <c r="R141">
        <v>12.5610675249943</v>
      </c>
      <c r="S141">
        <v>6.0236552941259998</v>
      </c>
      <c r="T141">
        <v>12.545166631188501</v>
      </c>
      <c r="U141">
        <v>0.21118862910498701</v>
      </c>
      <c r="V141">
        <v>1.30889360780353</v>
      </c>
      <c r="W141">
        <v>2</v>
      </c>
      <c r="X141">
        <v>-159.985612842959</v>
      </c>
      <c r="Y141">
        <v>1</v>
      </c>
    </row>
    <row r="142" spans="1:25" x14ac:dyDescent="0.25">
      <c r="A142">
        <v>124</v>
      </c>
      <c r="B142">
        <v>2</v>
      </c>
      <c r="C142" s="1">
        <v>1000000</v>
      </c>
      <c r="D142">
        <v>1</v>
      </c>
      <c r="E142">
        <v>0</v>
      </c>
      <c r="F142">
        <v>0.72499999999999998</v>
      </c>
      <c r="G142">
        <v>4.7249999999999996</v>
      </c>
      <c r="H142">
        <v>0.72499999999999998</v>
      </c>
      <c r="I142">
        <v>0</v>
      </c>
      <c r="J142">
        <v>-2.5015638425391802</v>
      </c>
      <c r="K142">
        <v>-2.4983259576055601</v>
      </c>
      <c r="L142">
        <v>9.5835413683021695</v>
      </c>
      <c r="M142">
        <v>62.136881453639802</v>
      </c>
      <c r="N142">
        <v>5.6405658595E-3</v>
      </c>
      <c r="O142">
        <v>4.1887902047864296</v>
      </c>
      <c r="P142">
        <v>-1.4833793789590199</v>
      </c>
      <c r="Q142">
        <v>8.5463233707649504</v>
      </c>
      <c r="R142">
        <v>12.5610983716217</v>
      </c>
      <c r="S142">
        <v>5.8058119790278901</v>
      </c>
      <c r="T142">
        <v>12.5452898915195</v>
      </c>
      <c r="U142">
        <v>0.214095738782106</v>
      </c>
      <c r="V142">
        <v>1.28085022110402</v>
      </c>
      <c r="W142">
        <v>2</v>
      </c>
      <c r="X142">
        <v>-160.36560410424499</v>
      </c>
      <c r="Y142">
        <v>1</v>
      </c>
    </row>
    <row r="143" spans="1:25" x14ac:dyDescent="0.25">
      <c r="A143">
        <v>124</v>
      </c>
      <c r="B143">
        <v>2</v>
      </c>
      <c r="C143" s="1">
        <v>1000000</v>
      </c>
      <c r="D143">
        <v>1</v>
      </c>
      <c r="E143">
        <v>0</v>
      </c>
      <c r="F143">
        <v>0.75</v>
      </c>
      <c r="G143">
        <v>4.75</v>
      </c>
      <c r="H143">
        <v>0.75</v>
      </c>
      <c r="I143">
        <v>0</v>
      </c>
      <c r="J143">
        <v>-2.3665672729474698</v>
      </c>
      <c r="K143">
        <v>-2.3590041273504299</v>
      </c>
      <c r="L143">
        <v>9.9661680629108904</v>
      </c>
      <c r="M143">
        <v>62.4030348350366</v>
      </c>
      <c r="N143">
        <v>4.6341917616035096E-3</v>
      </c>
      <c r="O143">
        <v>4.1887902047864198</v>
      </c>
      <c r="P143">
        <v>-1.40518599132217</v>
      </c>
      <c r="Q143">
        <v>8.3914455075280401</v>
      </c>
      <c r="R143">
        <v>12.5611326963456</v>
      </c>
      <c r="S143">
        <v>5.5972921074701798</v>
      </c>
      <c r="T143">
        <v>12.545427049194799</v>
      </c>
      <c r="U143">
        <v>0.22821911071729301</v>
      </c>
      <c r="V143">
        <v>1.25357209256365</v>
      </c>
      <c r="W143">
        <v>2</v>
      </c>
      <c r="X143">
        <v>-166.10180927305399</v>
      </c>
      <c r="Y143">
        <v>1</v>
      </c>
    </row>
    <row r="144" spans="1:25" x14ac:dyDescent="0.25">
      <c r="A144">
        <v>124</v>
      </c>
      <c r="B144">
        <v>2</v>
      </c>
      <c r="C144" s="1">
        <v>1000000</v>
      </c>
      <c r="D144">
        <v>1</v>
      </c>
      <c r="E144">
        <v>0</v>
      </c>
      <c r="F144">
        <v>0.77500000000000002</v>
      </c>
      <c r="G144">
        <v>4.7750000000000004</v>
      </c>
      <c r="H144">
        <v>0.77500000000000002</v>
      </c>
      <c r="I144">
        <v>0</v>
      </c>
      <c r="J144">
        <v>-2.2725475463968201</v>
      </c>
      <c r="K144">
        <v>-2.2297510032872698</v>
      </c>
      <c r="L144">
        <v>10.3276589291309</v>
      </c>
      <c r="M144">
        <v>62.650431548247397</v>
      </c>
      <c r="N144">
        <v>3.9120503434318797E-2</v>
      </c>
      <c r="O144">
        <v>4.1887902047948096</v>
      </c>
      <c r="P144">
        <v>-1.3315556839360601</v>
      </c>
      <c r="Q144">
        <v>8.2369862324347896</v>
      </c>
      <c r="R144">
        <v>12.5611609533251</v>
      </c>
      <c r="S144">
        <v>5.3930659887906804</v>
      </c>
      <c r="T144">
        <v>12.545539958704101</v>
      </c>
      <c r="U144">
        <v>0.20622460124703701</v>
      </c>
      <c r="V144">
        <v>1.22721900835872</v>
      </c>
      <c r="W144">
        <v>2</v>
      </c>
      <c r="X144">
        <v>-166.68739161858699</v>
      </c>
      <c r="Y144">
        <v>1</v>
      </c>
    </row>
    <row r="145" spans="1:25" x14ac:dyDescent="0.25">
      <c r="A145">
        <v>124</v>
      </c>
      <c r="B145">
        <v>2</v>
      </c>
      <c r="C145" s="1">
        <v>1000000</v>
      </c>
      <c r="D145">
        <v>1</v>
      </c>
      <c r="E145">
        <v>0</v>
      </c>
      <c r="F145">
        <v>0.8</v>
      </c>
      <c r="G145">
        <v>4.8</v>
      </c>
      <c r="H145">
        <v>0.8</v>
      </c>
      <c r="I145">
        <v>0</v>
      </c>
      <c r="J145">
        <v>-2.1228084325684402</v>
      </c>
      <c r="K145">
        <v>-2.1135832716622298</v>
      </c>
      <c r="L145">
        <v>10.6699831836032</v>
      </c>
      <c r="M145">
        <v>62.887420834946099</v>
      </c>
      <c r="N145">
        <v>1.2347028169439901E-2</v>
      </c>
      <c r="O145">
        <v>4.1887902047864198</v>
      </c>
      <c r="P145">
        <v>-1.2626895630785699</v>
      </c>
      <c r="Q145">
        <v>8.0916756488620205</v>
      </c>
      <c r="R145">
        <v>12.5611832056744</v>
      </c>
      <c r="S145">
        <v>5.2045509936352197</v>
      </c>
      <c r="T145">
        <v>12.545628876082301</v>
      </c>
      <c r="U145">
        <v>0.21939723827420801</v>
      </c>
      <c r="V145">
        <v>1.2018491709558501</v>
      </c>
      <c r="W145">
        <v>2</v>
      </c>
      <c r="X145">
        <v>-167.24258307951101</v>
      </c>
      <c r="Y145">
        <v>1</v>
      </c>
    </row>
    <row r="146" spans="1:25" x14ac:dyDescent="0.25">
      <c r="A146">
        <v>124</v>
      </c>
      <c r="B146">
        <v>2</v>
      </c>
      <c r="C146" s="1">
        <v>1000000</v>
      </c>
      <c r="D146">
        <v>1</v>
      </c>
      <c r="E146">
        <v>0</v>
      </c>
      <c r="F146">
        <v>0.82499999999999996</v>
      </c>
      <c r="G146">
        <v>4.8250000000000002</v>
      </c>
      <c r="H146">
        <v>0.82499999999999996</v>
      </c>
      <c r="I146">
        <v>0</v>
      </c>
      <c r="J146">
        <v>-2.0118381244564598</v>
      </c>
      <c r="K146">
        <v>-2.0037565525779999</v>
      </c>
      <c r="L146">
        <v>10.994534662987</v>
      </c>
      <c r="M146">
        <v>63.107434154698097</v>
      </c>
      <c r="N146">
        <v>4.6157297917351001E-3</v>
      </c>
      <c r="O146">
        <v>4.1887902047864101</v>
      </c>
      <c r="P146">
        <v>-1.1964667288790201</v>
      </c>
      <c r="Q146">
        <v>7.9449626992619402</v>
      </c>
      <c r="R146">
        <v>12.5611965613683</v>
      </c>
      <c r="S146">
        <v>5.0175245121199499</v>
      </c>
      <c r="T146">
        <v>12.5456822425024</v>
      </c>
      <c r="U146">
        <v>0.21245052703369899</v>
      </c>
      <c r="V146">
        <v>1.1766153397426999</v>
      </c>
      <c r="W146">
        <v>2</v>
      </c>
      <c r="X146">
        <v>-157.247411446803</v>
      </c>
      <c r="Y146">
        <v>1</v>
      </c>
    </row>
    <row r="147" spans="1:25" x14ac:dyDescent="0.25">
      <c r="A147">
        <v>124</v>
      </c>
      <c r="B147">
        <v>2</v>
      </c>
      <c r="C147" s="1">
        <v>1000000</v>
      </c>
      <c r="D147">
        <v>1</v>
      </c>
      <c r="E147">
        <v>0</v>
      </c>
      <c r="F147">
        <v>0.85</v>
      </c>
      <c r="G147">
        <v>4.8499999999999996</v>
      </c>
      <c r="H147">
        <v>0.85</v>
      </c>
      <c r="I147">
        <v>0</v>
      </c>
      <c r="J147">
        <v>-1.9119139346315901</v>
      </c>
      <c r="K147">
        <v>-1.90140012421872</v>
      </c>
      <c r="L147">
        <v>11.302680203677999</v>
      </c>
      <c r="M147">
        <v>63.314548292539101</v>
      </c>
      <c r="N147">
        <v>2.50118276706784E-3</v>
      </c>
      <c r="O147">
        <v>4.1887902047866303</v>
      </c>
      <c r="P147">
        <v>-1.13294894046999</v>
      </c>
      <c r="Q147">
        <v>7.8006225904050499</v>
      </c>
      <c r="R147">
        <v>12.5612060106033</v>
      </c>
      <c r="S147">
        <v>4.8367935315071398</v>
      </c>
      <c r="T147">
        <v>12.545719999417001</v>
      </c>
      <c r="U147">
        <v>0.22111758160633299</v>
      </c>
      <c r="V147">
        <v>1.1516621694707001</v>
      </c>
      <c r="W147">
        <v>2</v>
      </c>
      <c r="X147">
        <v>-168.595261505043</v>
      </c>
      <c r="Y147">
        <v>1</v>
      </c>
    </row>
    <row r="148" spans="1:25" x14ac:dyDescent="0.25">
      <c r="A148">
        <v>124</v>
      </c>
      <c r="B148">
        <v>2</v>
      </c>
      <c r="C148" s="1">
        <v>1000000</v>
      </c>
      <c r="D148">
        <v>1</v>
      </c>
      <c r="E148">
        <v>0</v>
      </c>
      <c r="F148">
        <v>0.875</v>
      </c>
      <c r="G148">
        <v>4.875</v>
      </c>
      <c r="H148">
        <v>0.875</v>
      </c>
      <c r="I148">
        <v>0</v>
      </c>
      <c r="J148">
        <v>-1.8191360730433499</v>
      </c>
      <c r="K148">
        <v>-1.8107598095273501</v>
      </c>
      <c r="L148">
        <v>11.595546055283</v>
      </c>
      <c r="M148">
        <v>63.514244561717298</v>
      </c>
      <c r="N148">
        <v>3.53617522773364E-2</v>
      </c>
      <c r="O148">
        <v>4.1887902047981402</v>
      </c>
      <c r="P148">
        <v>-1.0755302363946999</v>
      </c>
      <c r="Q148">
        <v>7.6649276582472803</v>
      </c>
      <c r="R148">
        <v>12.5612189478476</v>
      </c>
      <c r="S148">
        <v>4.6700931693815804</v>
      </c>
      <c r="T148">
        <v>12.5457716949636</v>
      </c>
      <c r="U148">
        <v>0.186796460936546</v>
      </c>
      <c r="V148">
        <v>1.12736745039077</v>
      </c>
      <c r="W148">
        <v>2</v>
      </c>
      <c r="X148">
        <v>-163.823311457958</v>
      </c>
      <c r="Y148">
        <v>1</v>
      </c>
    </row>
    <row r="149" spans="1:25" x14ac:dyDescent="0.25">
      <c r="A149">
        <v>124</v>
      </c>
      <c r="B149">
        <v>2</v>
      </c>
      <c r="C149" s="1">
        <v>1000000</v>
      </c>
      <c r="D149">
        <v>1</v>
      </c>
      <c r="E149">
        <v>0</v>
      </c>
      <c r="F149">
        <v>0.9</v>
      </c>
      <c r="G149">
        <v>4.9000000000000004</v>
      </c>
      <c r="H149">
        <v>0.9</v>
      </c>
      <c r="I149">
        <v>0</v>
      </c>
      <c r="J149">
        <v>-1.73198906786625</v>
      </c>
      <c r="K149">
        <v>-1.72497754432158</v>
      </c>
      <c r="L149">
        <v>11.8743973893977</v>
      </c>
      <c r="M149">
        <v>63.7027260047022</v>
      </c>
      <c r="N149">
        <v>2.4136603907354798E-2</v>
      </c>
      <c r="O149">
        <v>4.1887902047994796</v>
      </c>
      <c r="P149">
        <v>-1.0192461875361301</v>
      </c>
      <c r="Q149">
        <v>7.5307935299367497</v>
      </c>
      <c r="R149">
        <v>12.5612511255766</v>
      </c>
      <c r="S149">
        <v>4.5082756554938799</v>
      </c>
      <c r="T149">
        <v>12.5459002735622</v>
      </c>
      <c r="U149">
        <v>0.20411914151789801</v>
      </c>
      <c r="V149">
        <v>1.10330440305535</v>
      </c>
      <c r="W149">
        <v>2</v>
      </c>
      <c r="X149">
        <v>-164.505593597087</v>
      </c>
      <c r="Y149">
        <v>1</v>
      </c>
    </row>
    <row r="150" spans="1:25" x14ac:dyDescent="0.25">
      <c r="A150">
        <v>124</v>
      </c>
      <c r="B150">
        <v>2</v>
      </c>
      <c r="C150" s="1">
        <v>1000000</v>
      </c>
      <c r="D150">
        <v>1</v>
      </c>
      <c r="E150">
        <v>0</v>
      </c>
      <c r="F150">
        <v>0.92500000000000004</v>
      </c>
      <c r="G150">
        <v>4.9249999999999998</v>
      </c>
      <c r="H150">
        <v>0.92500000000000004</v>
      </c>
      <c r="I150">
        <v>0</v>
      </c>
      <c r="J150">
        <v>-1.6487417315958399</v>
      </c>
      <c r="K150">
        <v>-1.6384837751301899</v>
      </c>
      <c r="L150">
        <v>12.1399934013596</v>
      </c>
      <c r="M150">
        <v>63.873488572937497</v>
      </c>
      <c r="N150">
        <v>3.5341649064826001E-2</v>
      </c>
      <c r="O150">
        <v>4.1887902047864003</v>
      </c>
      <c r="P150">
        <v>-0.961214087019713</v>
      </c>
      <c r="Q150">
        <v>7.3875795770641997</v>
      </c>
      <c r="R150">
        <v>12.5612668106473</v>
      </c>
      <c r="S150">
        <v>4.3385924099946198</v>
      </c>
      <c r="T150">
        <v>12.545962948134299</v>
      </c>
      <c r="U150">
        <v>0.21949719534128601</v>
      </c>
      <c r="V150">
        <v>1.0786454836499799</v>
      </c>
      <c r="W150">
        <v>2</v>
      </c>
      <c r="X150">
        <v>-159.91324975286</v>
      </c>
      <c r="Y150">
        <v>1</v>
      </c>
    </row>
    <row r="151" spans="1:25" x14ac:dyDescent="0.25">
      <c r="A151">
        <v>124</v>
      </c>
      <c r="B151">
        <v>2</v>
      </c>
      <c r="C151" s="1">
        <v>1000000</v>
      </c>
      <c r="D151">
        <v>1</v>
      </c>
      <c r="E151">
        <v>0</v>
      </c>
      <c r="F151">
        <v>0.95</v>
      </c>
      <c r="G151">
        <v>4.95</v>
      </c>
      <c r="H151">
        <v>0.95</v>
      </c>
      <c r="I151">
        <v>0</v>
      </c>
      <c r="J151">
        <v>-1.57475041672238</v>
      </c>
      <c r="K151">
        <v>-1.56603372806264</v>
      </c>
      <c r="L151">
        <v>12.3932559774389</v>
      </c>
      <c r="M151">
        <v>64.043897601609302</v>
      </c>
      <c r="N151">
        <v>1.54239105382207E-2</v>
      </c>
      <c r="O151">
        <v>4.1887902047863497</v>
      </c>
      <c r="P151">
        <v>-0.91176626381705905</v>
      </c>
      <c r="Q151">
        <v>7.2602871553004498</v>
      </c>
      <c r="R151">
        <v>12.561279857173099</v>
      </c>
      <c r="S151">
        <v>4.1903604279381197</v>
      </c>
      <c r="T151">
        <v>12.546015079086599</v>
      </c>
      <c r="U151">
        <v>0.23045600578254399</v>
      </c>
      <c r="V151">
        <v>1.0567833132550699</v>
      </c>
      <c r="W151">
        <v>2</v>
      </c>
      <c r="X151">
        <v>-160.49697840107001</v>
      </c>
      <c r="Y151">
        <v>1</v>
      </c>
    </row>
    <row r="152" spans="1:25" x14ac:dyDescent="0.25">
      <c r="A152">
        <v>124</v>
      </c>
      <c r="B152">
        <v>2</v>
      </c>
      <c r="C152" s="1">
        <v>1000000</v>
      </c>
      <c r="D152">
        <v>1</v>
      </c>
      <c r="E152">
        <v>0</v>
      </c>
      <c r="F152">
        <v>0.97499999999999998</v>
      </c>
      <c r="G152">
        <v>4.9749999999999996</v>
      </c>
      <c r="H152">
        <v>0.97499999999999998</v>
      </c>
      <c r="I152">
        <v>0</v>
      </c>
      <c r="J152">
        <v>-1.50023379747972</v>
      </c>
      <c r="K152">
        <v>-1.4952126189391799</v>
      </c>
      <c r="L152">
        <v>12.634774345725299</v>
      </c>
      <c r="M152">
        <v>64.201923146480596</v>
      </c>
      <c r="N152">
        <v>2.5391737069806498E-2</v>
      </c>
      <c r="O152">
        <v>4.1887902047864003</v>
      </c>
      <c r="P152">
        <v>-0.86207960491387803</v>
      </c>
      <c r="Q152">
        <v>7.1299806695774404</v>
      </c>
      <c r="R152">
        <v>12.5612883664205</v>
      </c>
      <c r="S152">
        <v>4.0410143934507596</v>
      </c>
      <c r="T152">
        <v>12.5460490796044</v>
      </c>
      <c r="U152">
        <v>0.23391565604062001</v>
      </c>
      <c r="V152">
        <v>1.03276944201554</v>
      </c>
      <c r="W152">
        <v>2</v>
      </c>
      <c r="X152">
        <v>-172.09804522619999</v>
      </c>
      <c r="Y152">
        <v>1</v>
      </c>
    </row>
    <row r="153" spans="1:25" x14ac:dyDescent="0.25">
      <c r="A153">
        <v>124</v>
      </c>
      <c r="B153">
        <v>2</v>
      </c>
      <c r="C153" s="1">
        <v>1000000</v>
      </c>
      <c r="D153">
        <v>1</v>
      </c>
      <c r="E153">
        <v>0</v>
      </c>
      <c r="F153">
        <v>1</v>
      </c>
      <c r="G153">
        <v>5</v>
      </c>
      <c r="H153">
        <v>1</v>
      </c>
      <c r="I153">
        <v>0</v>
      </c>
      <c r="J153">
        <v>-1.43378510682535</v>
      </c>
      <c r="K153">
        <v>-1.42738599459645</v>
      </c>
      <c r="L153">
        <v>12.8632237385594</v>
      </c>
      <c r="M153">
        <v>64.348620761220204</v>
      </c>
      <c r="N153">
        <v>3.0546853225241E-3</v>
      </c>
      <c r="O153">
        <v>4.1887902047864101</v>
      </c>
      <c r="P153">
        <v>-0.81245830622982995</v>
      </c>
      <c r="Q153">
        <v>7.0005539609990199</v>
      </c>
      <c r="R153">
        <v>12.5612086664554</v>
      </c>
      <c r="S153">
        <v>3.8953487487146101</v>
      </c>
      <c r="T153">
        <v>12.5457306212363</v>
      </c>
      <c r="U153">
        <v>0.12160794492065299</v>
      </c>
      <c r="V153">
        <v>1.0128922199360899</v>
      </c>
      <c r="W153">
        <v>2</v>
      </c>
      <c r="X153">
        <v>-167.15060448921</v>
      </c>
      <c r="Y153">
        <v>1</v>
      </c>
    </row>
    <row r="154" spans="1:25" x14ac:dyDescent="0.25">
      <c r="A154">
        <v>124</v>
      </c>
      <c r="B154">
        <v>2</v>
      </c>
      <c r="C154" s="1">
        <v>1000000</v>
      </c>
      <c r="D154">
        <v>1</v>
      </c>
      <c r="E154">
        <v>0</v>
      </c>
      <c r="F154">
        <v>1.0249999999999999</v>
      </c>
      <c r="G154">
        <v>5.0250000000000004</v>
      </c>
      <c r="H154">
        <v>1.0249999999999999</v>
      </c>
      <c r="I154">
        <v>0</v>
      </c>
      <c r="J154">
        <v>-1.3690938076293599</v>
      </c>
      <c r="K154">
        <v>-1.36297503057244</v>
      </c>
      <c r="L154">
        <v>13.0813205630949</v>
      </c>
      <c r="M154">
        <v>64.487205085539202</v>
      </c>
      <c r="N154">
        <v>0.328842676353023</v>
      </c>
      <c r="O154">
        <v>4.1887902069522402</v>
      </c>
      <c r="P154">
        <v>-0.76418955633080599</v>
      </c>
      <c r="Q154">
        <v>6.8707766965980897</v>
      </c>
      <c r="R154">
        <v>12.5612917578059</v>
      </c>
      <c r="S154">
        <v>3.75259335628582</v>
      </c>
      <c r="T154">
        <v>12.5460626490955</v>
      </c>
      <c r="U154">
        <v>-0.110061135703688</v>
      </c>
      <c r="V154">
        <v>0.99040985067259302</v>
      </c>
      <c r="W154">
        <v>2</v>
      </c>
      <c r="X154">
        <v>-162.081258058147</v>
      </c>
      <c r="Y154">
        <v>1</v>
      </c>
    </row>
    <row r="155" spans="1:25" x14ac:dyDescent="0.25">
      <c r="A155">
        <v>124</v>
      </c>
      <c r="B155">
        <v>2</v>
      </c>
      <c r="C155" s="1">
        <v>1000000</v>
      </c>
      <c r="D155">
        <v>1</v>
      </c>
      <c r="E155">
        <v>0</v>
      </c>
      <c r="F155">
        <v>1.05</v>
      </c>
      <c r="G155">
        <v>5.05</v>
      </c>
      <c r="H155">
        <v>1.05</v>
      </c>
      <c r="I155">
        <v>0</v>
      </c>
      <c r="J155">
        <v>-1.3088512335261999</v>
      </c>
      <c r="K155">
        <v>-1.3045246585218599</v>
      </c>
      <c r="L155">
        <v>13.2915792631501</v>
      </c>
      <c r="M155">
        <v>64.623045433722396</v>
      </c>
      <c r="N155">
        <v>0.334177846475333</v>
      </c>
      <c r="O155">
        <v>4.1887902058448603</v>
      </c>
      <c r="P155">
        <v>-0.71906194079355501</v>
      </c>
      <c r="Q155">
        <v>6.7474810972369497</v>
      </c>
      <c r="R155">
        <v>12.561292074385101</v>
      </c>
      <c r="S155">
        <v>3.61951407787123</v>
      </c>
      <c r="T155">
        <v>12.5460639147761</v>
      </c>
      <c r="U155">
        <v>-0.105883136828435</v>
      </c>
      <c r="V155">
        <v>0.96855463581697798</v>
      </c>
      <c r="W155">
        <v>2</v>
      </c>
      <c r="X155">
        <v>-55.894914930492398</v>
      </c>
      <c r="Y155">
        <v>1</v>
      </c>
    </row>
    <row r="156" spans="1:25" x14ac:dyDescent="0.25">
      <c r="A156">
        <v>124</v>
      </c>
      <c r="B156">
        <v>2</v>
      </c>
      <c r="C156" s="1">
        <v>1000000</v>
      </c>
      <c r="D156">
        <v>1</v>
      </c>
      <c r="E156">
        <v>0</v>
      </c>
      <c r="F156">
        <v>1.075</v>
      </c>
      <c r="G156">
        <v>5.0750000000000002</v>
      </c>
      <c r="H156">
        <v>1.075</v>
      </c>
      <c r="I156">
        <v>0</v>
      </c>
      <c r="J156">
        <v>-1.2494018862266301</v>
      </c>
      <c r="K156">
        <v>-1.2443749561797599</v>
      </c>
      <c r="L156">
        <v>13.4913455020424</v>
      </c>
      <c r="M156">
        <v>64.743337033838998</v>
      </c>
      <c r="N156">
        <v>0.40735386966737402</v>
      </c>
      <c r="O156">
        <v>4.1887902045049099</v>
      </c>
      <c r="P156">
        <v>-0.67178307120911596</v>
      </c>
      <c r="Q156">
        <v>6.6133029899450104</v>
      </c>
      <c r="R156">
        <v>12.5613141411432</v>
      </c>
      <c r="S156">
        <v>3.47725610252655</v>
      </c>
      <c r="T156">
        <v>12.546152068036699</v>
      </c>
      <c r="U156">
        <v>-0.375439353916518</v>
      </c>
      <c r="V156">
        <v>0.94544396713525103</v>
      </c>
      <c r="W156">
        <v>2</v>
      </c>
      <c r="X156">
        <v>117.840164129494</v>
      </c>
      <c r="Y156">
        <v>1</v>
      </c>
    </row>
    <row r="157" spans="1:25" x14ac:dyDescent="0.25">
      <c r="A157">
        <v>124</v>
      </c>
      <c r="B157">
        <v>2</v>
      </c>
      <c r="C157" s="1">
        <v>1000000</v>
      </c>
      <c r="D157">
        <v>1</v>
      </c>
      <c r="E157">
        <v>0</v>
      </c>
      <c r="F157">
        <v>1.1000000000000001</v>
      </c>
      <c r="G157">
        <v>5.0999999999999996</v>
      </c>
      <c r="H157">
        <v>1.1000000000000001</v>
      </c>
      <c r="I157">
        <v>0</v>
      </c>
      <c r="J157">
        <v>-1.1932656818862999</v>
      </c>
      <c r="K157">
        <v>-1.1878844157209401</v>
      </c>
      <c r="L157">
        <v>13.6832862136506</v>
      </c>
      <c r="M157">
        <v>64.856731334303902</v>
      </c>
      <c r="N157">
        <v>0.32802323149215001</v>
      </c>
      <c r="O157">
        <v>4.1887901948836301</v>
      </c>
      <c r="P157">
        <v>-0.62717255346718104</v>
      </c>
      <c r="Q157">
        <v>6.4784955368138197</v>
      </c>
      <c r="R157">
        <v>12.5613052582934</v>
      </c>
      <c r="S157">
        <v>3.33685152876535</v>
      </c>
      <c r="T157">
        <v>12.546116582528001</v>
      </c>
      <c r="U157">
        <v>-0.37197652399508002</v>
      </c>
      <c r="V157">
        <v>0.92246153463316705</v>
      </c>
      <c r="W157">
        <v>2</v>
      </c>
      <c r="X157">
        <v>178.758983101772</v>
      </c>
      <c r="Y157">
        <v>1</v>
      </c>
    </row>
    <row r="158" spans="1:25" x14ac:dyDescent="0.25">
      <c r="A158">
        <v>124</v>
      </c>
      <c r="B158">
        <v>2</v>
      </c>
      <c r="C158" s="1">
        <v>1000000</v>
      </c>
      <c r="D158">
        <v>1</v>
      </c>
      <c r="E158">
        <v>0</v>
      </c>
      <c r="F158">
        <v>1.125</v>
      </c>
      <c r="G158">
        <v>5.125</v>
      </c>
      <c r="H158">
        <v>1.125</v>
      </c>
      <c r="I158">
        <v>0</v>
      </c>
      <c r="J158">
        <v>-1.1400044238953599</v>
      </c>
      <c r="K158">
        <v>-1.13327529923237</v>
      </c>
      <c r="L158">
        <v>13.8664912874652</v>
      </c>
      <c r="M158">
        <v>64.961907835940394</v>
      </c>
      <c r="N158">
        <v>0.36827185889903302</v>
      </c>
      <c r="O158">
        <v>4.18879019273413</v>
      </c>
      <c r="P158">
        <v>-0.58276381246808795</v>
      </c>
      <c r="Q158">
        <v>6.3414526438652103</v>
      </c>
      <c r="R158">
        <v>12.5613089553705</v>
      </c>
      <c r="S158">
        <v>3.1973093780349102</v>
      </c>
      <c r="T158">
        <v>12.5461313516024</v>
      </c>
      <c r="U158">
        <v>-0.34483477108136901</v>
      </c>
      <c r="V158">
        <v>0.89949947941695196</v>
      </c>
      <c r="W158">
        <v>2</v>
      </c>
      <c r="X158">
        <v>177.861920959223</v>
      </c>
      <c r="Y158">
        <v>1</v>
      </c>
    </row>
    <row r="159" spans="1:25" x14ac:dyDescent="0.25">
      <c r="A159">
        <v>124</v>
      </c>
      <c r="B159">
        <v>2</v>
      </c>
      <c r="C159" s="1">
        <v>1000000</v>
      </c>
      <c r="D159">
        <v>1</v>
      </c>
      <c r="E159">
        <v>0</v>
      </c>
      <c r="F159">
        <v>1.1499999999999999</v>
      </c>
      <c r="G159">
        <v>5.15</v>
      </c>
      <c r="H159">
        <v>1.1499999999999999</v>
      </c>
      <c r="I159">
        <v>0</v>
      </c>
      <c r="J159">
        <v>-1.08923211858275</v>
      </c>
      <c r="K159">
        <v>-1.0835334837620001</v>
      </c>
      <c r="L159">
        <v>14.041809925774</v>
      </c>
      <c r="M159">
        <v>65.065359368633295</v>
      </c>
      <c r="N159">
        <v>0.38992282631332897</v>
      </c>
      <c r="O159">
        <v>4.1887901973206398</v>
      </c>
      <c r="P159">
        <v>-0.54012089093000404</v>
      </c>
      <c r="Q159">
        <v>6.2126445359745697</v>
      </c>
      <c r="R159">
        <v>12.561312012023301</v>
      </c>
      <c r="S159">
        <v>3.0688054241057601</v>
      </c>
      <c r="T159">
        <v>12.546143562423801</v>
      </c>
      <c r="U159">
        <v>-0.35388496472138498</v>
      </c>
      <c r="V159">
        <v>0.87692895972999796</v>
      </c>
      <c r="W159">
        <v>2</v>
      </c>
      <c r="X159">
        <v>176.99602752571201</v>
      </c>
      <c r="Y159">
        <v>1</v>
      </c>
    </row>
    <row r="160" spans="1:25" x14ac:dyDescent="0.25">
      <c r="A160">
        <v>124</v>
      </c>
      <c r="B160">
        <v>2</v>
      </c>
      <c r="C160" s="1">
        <v>1000000</v>
      </c>
      <c r="D160">
        <v>1</v>
      </c>
      <c r="E160">
        <v>0</v>
      </c>
      <c r="F160">
        <v>1.175</v>
      </c>
      <c r="G160">
        <v>5.1749999999999998</v>
      </c>
      <c r="H160">
        <v>1.175</v>
      </c>
      <c r="I160">
        <v>0</v>
      </c>
      <c r="J160">
        <v>-1.0404178204061001</v>
      </c>
      <c r="K160">
        <v>-1.03963662326013</v>
      </c>
      <c r="L160">
        <v>14.209353645658499</v>
      </c>
      <c r="M160">
        <v>65.169911238215604</v>
      </c>
      <c r="N160">
        <v>0.37499912489242399</v>
      </c>
      <c r="O160">
        <v>4.1887901956908804</v>
      </c>
      <c r="P160">
        <v>-0.499661144177938</v>
      </c>
      <c r="Q160">
        <v>6.0976003389164601</v>
      </c>
      <c r="R160">
        <v>12.5613157254841</v>
      </c>
      <c r="S160">
        <v>2.9561829850066199</v>
      </c>
      <c r="T160">
        <v>12.546158397280401</v>
      </c>
      <c r="U160">
        <v>-0.31600577559901299</v>
      </c>
      <c r="V160">
        <v>0.85679105859932803</v>
      </c>
      <c r="W160">
        <v>2</v>
      </c>
      <c r="X160">
        <v>176.228892863401</v>
      </c>
      <c r="Y160">
        <v>1</v>
      </c>
    </row>
    <row r="161" spans="1:25" x14ac:dyDescent="0.25">
      <c r="A161">
        <v>124</v>
      </c>
      <c r="B161">
        <v>2</v>
      </c>
      <c r="C161" s="1">
        <v>1000000</v>
      </c>
      <c r="D161">
        <v>1</v>
      </c>
      <c r="E161">
        <v>0</v>
      </c>
      <c r="F161">
        <v>1.2</v>
      </c>
      <c r="G161">
        <v>5.2</v>
      </c>
      <c r="H161">
        <v>1.2</v>
      </c>
      <c r="I161">
        <v>0</v>
      </c>
      <c r="J161">
        <v>-0.22644852451285799</v>
      </c>
      <c r="K161">
        <v>0</v>
      </c>
      <c r="L161">
        <v>14.940815319471699</v>
      </c>
      <c r="M161">
        <v>64.248501733858305</v>
      </c>
      <c r="N161">
        <v>2.0535290567713499E-4</v>
      </c>
      <c r="O161">
        <v>4.1887902047863301</v>
      </c>
      <c r="P161">
        <v>0.44443485081561901</v>
      </c>
      <c r="Q161">
        <v>0.59412487245129697</v>
      </c>
      <c r="R161">
        <v>12.5613245997089</v>
      </c>
      <c r="S161">
        <v>1.5294461996256401E-3</v>
      </c>
      <c r="T161">
        <v>12.5461938498786</v>
      </c>
      <c r="U161">
        <v>-1.9245532265319901E-2</v>
      </c>
      <c r="V161">
        <v>2.5594427371350501E-4</v>
      </c>
      <c r="W161">
        <v>2</v>
      </c>
      <c r="X161">
        <v>149.86517899977</v>
      </c>
      <c r="Y161">
        <v>1</v>
      </c>
    </row>
    <row r="162" spans="1:25" x14ac:dyDescent="0.25">
      <c r="A162">
        <v>124</v>
      </c>
      <c r="B162">
        <v>2</v>
      </c>
      <c r="C162" s="1">
        <v>1000000</v>
      </c>
      <c r="D162">
        <v>1</v>
      </c>
      <c r="E162">
        <v>0</v>
      </c>
      <c r="F162">
        <v>1.2250000000000001</v>
      </c>
      <c r="G162">
        <v>5.2249999999999996</v>
      </c>
      <c r="H162">
        <v>1.2250000000000001</v>
      </c>
      <c r="I162">
        <v>0</v>
      </c>
      <c r="J162">
        <v>-0.72764341013616896</v>
      </c>
      <c r="K162">
        <v>0</v>
      </c>
      <c r="L162">
        <v>14.996958400344999</v>
      </c>
      <c r="M162">
        <v>64.303127595694605</v>
      </c>
      <c r="N162">
        <v>2.6301236284708199E-3</v>
      </c>
      <c r="O162">
        <v>4.1887902047763399</v>
      </c>
      <c r="P162">
        <v>0.40750728250536</v>
      </c>
      <c r="Q162">
        <v>0.448763041816649</v>
      </c>
      <c r="R162">
        <v>12.5613246208592</v>
      </c>
      <c r="S162">
        <v>2.4232775978480801E-4</v>
      </c>
      <c r="T162">
        <v>12.546193934378</v>
      </c>
      <c r="U162">
        <v>-3.0793412292183402E-2</v>
      </c>
      <c r="V162">
        <v>7.9521573746440903E-4</v>
      </c>
      <c r="W162">
        <v>2</v>
      </c>
      <c r="X162">
        <v>151.05824590549</v>
      </c>
      <c r="Y162">
        <v>1</v>
      </c>
    </row>
    <row r="163" spans="1:25" x14ac:dyDescent="0.25">
      <c r="A163">
        <v>124</v>
      </c>
      <c r="B163">
        <v>2</v>
      </c>
      <c r="C163" s="1">
        <v>1000000</v>
      </c>
      <c r="D163">
        <v>1</v>
      </c>
      <c r="E163">
        <v>0</v>
      </c>
      <c r="F163">
        <v>1.25</v>
      </c>
      <c r="G163">
        <v>5.25</v>
      </c>
      <c r="H163">
        <v>1.25</v>
      </c>
      <c r="I163">
        <v>0</v>
      </c>
      <c r="J163">
        <v>-6.1396436086058999E-2</v>
      </c>
      <c r="K163">
        <v>0</v>
      </c>
      <c r="L163">
        <v>14.9935794254044</v>
      </c>
      <c r="M163">
        <v>64.298999126003693</v>
      </c>
      <c r="N163" s="1">
        <v>7.0640367687480399E-5</v>
      </c>
      <c r="O163">
        <v>4.1887902047863497</v>
      </c>
      <c r="P163">
        <v>0.42558531267928601</v>
      </c>
      <c r="Q163">
        <v>0.51385795531933098</v>
      </c>
      <c r="R163">
        <v>12.5613246230035</v>
      </c>
      <c r="S163">
        <v>2.7635321510754702E-4</v>
      </c>
      <c r="T163">
        <v>12.5461939429451</v>
      </c>
      <c r="U163">
        <v>2.3455448939823801E-3</v>
      </c>
      <c r="V163">
        <v>1.0229393913807801E-3</v>
      </c>
      <c r="W163">
        <v>2</v>
      </c>
      <c r="X163">
        <v>150.187849964566</v>
      </c>
      <c r="Y163">
        <v>1</v>
      </c>
    </row>
    <row r="164" spans="1:25" x14ac:dyDescent="0.25">
      <c r="A164">
        <v>124</v>
      </c>
      <c r="B164">
        <v>2</v>
      </c>
      <c r="C164" s="1">
        <v>1000000</v>
      </c>
      <c r="D164">
        <v>1</v>
      </c>
      <c r="E164">
        <v>0</v>
      </c>
      <c r="F164">
        <v>1.2749999999999999</v>
      </c>
      <c r="G164">
        <v>5.2750000000000004</v>
      </c>
      <c r="H164">
        <v>1.2749999999999999</v>
      </c>
      <c r="I164">
        <v>0</v>
      </c>
      <c r="J164">
        <v>-0.81187665799798103</v>
      </c>
      <c r="K164">
        <v>0</v>
      </c>
      <c r="L164">
        <v>14.999270633939499</v>
      </c>
      <c r="M164">
        <v>64.304046117101606</v>
      </c>
      <c r="N164">
        <v>9.7303207756695197E-4</v>
      </c>
      <c r="O164">
        <v>4.1887902047865504</v>
      </c>
      <c r="P164">
        <v>0.41628101374378501</v>
      </c>
      <c r="Q164">
        <v>0.57270474741779598</v>
      </c>
      <c r="R164">
        <v>12.561324622701299</v>
      </c>
      <c r="S164" s="1">
        <v>-9.7193944095021103E-5</v>
      </c>
      <c r="T164">
        <v>12.546193941737499</v>
      </c>
      <c r="U164">
        <v>-1.1946310302692701E-2</v>
      </c>
      <c r="V164">
        <v>1.36181894393154E-4</v>
      </c>
      <c r="W164">
        <v>2</v>
      </c>
      <c r="X164">
        <v>150.57182179493199</v>
      </c>
      <c r="Y164">
        <v>1</v>
      </c>
    </row>
    <row r="165" spans="1:25" x14ac:dyDescent="0.25">
      <c r="A165">
        <v>124</v>
      </c>
      <c r="B165">
        <v>2</v>
      </c>
      <c r="C165" s="1">
        <v>1000000</v>
      </c>
      <c r="D165">
        <v>1</v>
      </c>
      <c r="E165">
        <v>0</v>
      </c>
      <c r="F165">
        <v>1.3</v>
      </c>
      <c r="G165">
        <v>5.3</v>
      </c>
      <c r="H165">
        <v>1.3</v>
      </c>
      <c r="I165">
        <v>0</v>
      </c>
      <c r="J165">
        <v>-0.44882908410727002</v>
      </c>
      <c r="K165">
        <v>0</v>
      </c>
      <c r="L165">
        <v>15.0078284899124</v>
      </c>
      <c r="M165">
        <v>64.311958614654401</v>
      </c>
      <c r="N165">
        <v>8.5969549708501199E-4</v>
      </c>
      <c r="O165">
        <v>4.1887902047863497</v>
      </c>
      <c r="P165">
        <v>0.40654053335711499</v>
      </c>
      <c r="Q165">
        <v>0.20937919133031699</v>
      </c>
      <c r="R165">
        <v>12.561324620902999</v>
      </c>
      <c r="S165" s="1">
        <v>2.4010069338014698E-6</v>
      </c>
      <c r="T165">
        <v>12.5461939345531</v>
      </c>
      <c r="U165">
        <v>-2.27773502634574E-2</v>
      </c>
      <c r="V165" s="1">
        <v>7.9436769261458898E-5</v>
      </c>
      <c r="W165">
        <v>2</v>
      </c>
      <c r="X165">
        <v>151.01731202456801</v>
      </c>
      <c r="Y165">
        <v>1</v>
      </c>
    </row>
    <row r="166" spans="1:25" x14ac:dyDescent="0.25">
      <c r="A166">
        <v>143</v>
      </c>
      <c r="B166">
        <v>2</v>
      </c>
      <c r="C166" s="1">
        <v>1000000</v>
      </c>
      <c r="D166">
        <v>1</v>
      </c>
      <c r="E166">
        <v>0</v>
      </c>
      <c r="F166">
        <v>0.3</v>
      </c>
      <c r="G166">
        <v>4.3</v>
      </c>
      <c r="H166">
        <v>0.3</v>
      </c>
      <c r="I166">
        <v>0</v>
      </c>
      <c r="J166">
        <v>-3.5370372419735698</v>
      </c>
      <c r="K166">
        <v>-3.4015310695689398</v>
      </c>
      <c r="L166">
        <v>-6.5142375471309899</v>
      </c>
      <c r="M166">
        <v>55.5519500278604</v>
      </c>
      <c r="N166">
        <v>2.1561165014838201E-4</v>
      </c>
      <c r="O166">
        <v>4.1887902047863603</v>
      </c>
      <c r="P166">
        <v>-0.80338109998240703</v>
      </c>
      <c r="Q166">
        <v>14.1873776812652</v>
      </c>
      <c r="R166">
        <v>12.5613242591449</v>
      </c>
      <c r="S166">
        <v>15.975323555400999</v>
      </c>
      <c r="T166">
        <v>12.546192489257701</v>
      </c>
      <c r="U166">
        <v>8.2115297489328096E-2</v>
      </c>
      <c r="V166">
        <v>2</v>
      </c>
      <c r="W166">
        <v>2.29738</v>
      </c>
      <c r="X166">
        <v>60.892051657343302</v>
      </c>
      <c r="Y166">
        <v>1</v>
      </c>
    </row>
    <row r="167" spans="1:25" x14ac:dyDescent="0.25">
      <c r="A167">
        <v>143</v>
      </c>
      <c r="B167">
        <v>2</v>
      </c>
      <c r="C167" s="1">
        <v>1000000</v>
      </c>
      <c r="D167">
        <v>1</v>
      </c>
      <c r="E167">
        <v>0</v>
      </c>
      <c r="F167">
        <v>0.32500000000000001</v>
      </c>
      <c r="G167">
        <v>4.3250000000000002</v>
      </c>
      <c r="H167">
        <v>0.32500000000000001</v>
      </c>
      <c r="I167">
        <v>0</v>
      </c>
      <c r="J167">
        <v>-6.7278434354080003</v>
      </c>
      <c r="K167">
        <v>-7.3324257325865396</v>
      </c>
      <c r="L167">
        <v>-5.6748892249460496</v>
      </c>
      <c r="M167">
        <v>54.966172853581199</v>
      </c>
      <c r="N167">
        <v>8.8433866534223804E-4</v>
      </c>
      <c r="O167">
        <v>4.1887902047863896</v>
      </c>
      <c r="P167">
        <v>-2.67876191479214</v>
      </c>
      <c r="Q167">
        <v>13.3878296967479</v>
      </c>
      <c r="R167">
        <v>12.561323176454</v>
      </c>
      <c r="S167">
        <v>14.1908813844768</v>
      </c>
      <c r="T167">
        <v>12.546188163695</v>
      </c>
      <c r="U167">
        <v>0.114463913430711</v>
      </c>
      <c r="V167">
        <v>1.9875957999676901</v>
      </c>
      <c r="W167">
        <v>2.1848200000000002</v>
      </c>
      <c r="X167">
        <v>95.827199545083005</v>
      </c>
      <c r="Y167">
        <v>1</v>
      </c>
    </row>
    <row r="168" spans="1:25" x14ac:dyDescent="0.25">
      <c r="A168">
        <v>143</v>
      </c>
      <c r="B168">
        <v>2</v>
      </c>
      <c r="C168" s="1">
        <v>1000000</v>
      </c>
      <c r="D168">
        <v>1</v>
      </c>
      <c r="E168">
        <v>0</v>
      </c>
      <c r="F168">
        <v>0.35</v>
      </c>
      <c r="G168">
        <v>4.3499999999999996</v>
      </c>
      <c r="H168">
        <v>0.35</v>
      </c>
      <c r="I168">
        <v>0</v>
      </c>
      <c r="J168">
        <v>-8.0565298944975101</v>
      </c>
      <c r="K168">
        <v>-9.26611522714669</v>
      </c>
      <c r="L168">
        <v>-4.3493208987629899</v>
      </c>
      <c r="M168">
        <v>55.161904181178997</v>
      </c>
      <c r="N168">
        <v>5.5655450572533703E-3</v>
      </c>
      <c r="O168">
        <v>4.1887902047869501</v>
      </c>
      <c r="P168">
        <v>-3.95920677518103</v>
      </c>
      <c r="Q168">
        <v>12.6898732307328</v>
      </c>
      <c r="R168">
        <v>12.5613120112949</v>
      </c>
      <c r="S168">
        <v>12.7762366479023</v>
      </c>
      <c r="T168">
        <v>12.54614355635</v>
      </c>
      <c r="U168">
        <v>0.13695164539379201</v>
      </c>
      <c r="V168">
        <v>1.91414880261769</v>
      </c>
      <c r="W168">
        <v>2.0573899999999998</v>
      </c>
      <c r="X168">
        <v>128.95878898462001</v>
      </c>
      <c r="Y168">
        <v>1</v>
      </c>
    </row>
    <row r="169" spans="1:25" x14ac:dyDescent="0.25">
      <c r="A169">
        <v>143</v>
      </c>
      <c r="B169">
        <v>2</v>
      </c>
      <c r="C169" s="1">
        <v>1000000</v>
      </c>
      <c r="D169">
        <v>1</v>
      </c>
      <c r="E169">
        <v>0</v>
      </c>
      <c r="F169">
        <v>0.375</v>
      </c>
      <c r="G169">
        <v>4.375</v>
      </c>
      <c r="H169">
        <v>0.375</v>
      </c>
      <c r="I169">
        <v>0</v>
      </c>
      <c r="J169">
        <v>-9.1058080290741508</v>
      </c>
      <c r="K169">
        <v>-9.0703147447489592</v>
      </c>
      <c r="L169">
        <v>-2.90497340088907</v>
      </c>
      <c r="M169">
        <v>55.791901038488596</v>
      </c>
      <c r="N169">
        <v>5.83718829272976E-2</v>
      </c>
      <c r="O169">
        <v>4.1887902047938699</v>
      </c>
      <c r="P169">
        <v>-4.2249632446424901</v>
      </c>
      <c r="Q169">
        <v>12.161140696677901</v>
      </c>
      <c r="R169">
        <v>12.5612816510705</v>
      </c>
      <c r="S169">
        <v>11.7567203049071</v>
      </c>
      <c r="T169">
        <v>12.5460222625616</v>
      </c>
      <c r="U169">
        <v>0.12039810303093899</v>
      </c>
      <c r="V169">
        <v>1.8458280301565899</v>
      </c>
      <c r="W169">
        <v>2</v>
      </c>
      <c r="X169">
        <v>152.74224142017201</v>
      </c>
      <c r="Y169">
        <v>1</v>
      </c>
    </row>
    <row r="170" spans="1:25" x14ac:dyDescent="0.25">
      <c r="A170">
        <v>143</v>
      </c>
      <c r="B170">
        <v>2</v>
      </c>
      <c r="C170" s="1">
        <v>1000000</v>
      </c>
      <c r="D170">
        <v>1</v>
      </c>
      <c r="E170">
        <v>0</v>
      </c>
      <c r="F170">
        <v>0.4</v>
      </c>
      <c r="G170">
        <v>4.4000000000000004</v>
      </c>
      <c r="H170">
        <v>0.4</v>
      </c>
      <c r="I170">
        <v>0</v>
      </c>
      <c r="J170">
        <v>-8.2501474841604097</v>
      </c>
      <c r="K170">
        <v>-8.2274869157295001</v>
      </c>
      <c r="L170">
        <v>-1.5493258652492901</v>
      </c>
      <c r="M170">
        <v>56.5520571928921</v>
      </c>
      <c r="N170">
        <v>0.12560749591598599</v>
      </c>
      <c r="O170">
        <v>4.18879019228598</v>
      </c>
      <c r="P170">
        <v>-4.0513375396617803</v>
      </c>
      <c r="Q170">
        <v>11.768997325755601</v>
      </c>
      <c r="R170">
        <v>12.561160043229901</v>
      </c>
      <c r="S170">
        <v>11.0116881324019</v>
      </c>
      <c r="T170">
        <v>12.545536314801099</v>
      </c>
      <c r="U170">
        <v>0.117412061095714</v>
      </c>
      <c r="V170">
        <v>1.7824365689617001</v>
      </c>
      <c r="W170">
        <v>2</v>
      </c>
      <c r="X170">
        <v>169.01823281210901</v>
      </c>
      <c r="Y170">
        <v>1</v>
      </c>
    </row>
    <row r="171" spans="1:25" x14ac:dyDescent="0.25">
      <c r="A171">
        <v>143</v>
      </c>
      <c r="B171">
        <v>2</v>
      </c>
      <c r="C171" s="1">
        <v>1000000</v>
      </c>
      <c r="D171">
        <v>1</v>
      </c>
      <c r="E171">
        <v>0</v>
      </c>
      <c r="F171">
        <v>0.42499999999999999</v>
      </c>
      <c r="G171">
        <v>4.4249999999999998</v>
      </c>
      <c r="H171">
        <v>0.42499999999999999</v>
      </c>
      <c r="I171">
        <v>0</v>
      </c>
      <c r="J171">
        <v>-7.2388519700855998</v>
      </c>
      <c r="K171">
        <v>-7.3436539557172402</v>
      </c>
      <c r="L171">
        <v>-0.32695454032712601</v>
      </c>
      <c r="M171">
        <v>57.296234408379803</v>
      </c>
      <c r="N171">
        <v>3.5151181927365299E-2</v>
      </c>
      <c r="O171">
        <v>4.1887902047864101</v>
      </c>
      <c r="P171">
        <v>-3.76990367663003</v>
      </c>
      <c r="Q171">
        <v>11.4443622548297</v>
      </c>
      <c r="R171">
        <v>12.561245151365799</v>
      </c>
      <c r="S171">
        <v>10.412507285945599</v>
      </c>
      <c r="T171">
        <v>12.5458764057345</v>
      </c>
      <c r="U171">
        <v>0.127418761306654</v>
      </c>
      <c r="V171">
        <v>1.7257464514107399</v>
      </c>
      <c r="W171">
        <v>2</v>
      </c>
      <c r="X171">
        <v>76.898885120827899</v>
      </c>
      <c r="Y171">
        <v>1</v>
      </c>
    </row>
    <row r="172" spans="1:25" x14ac:dyDescent="0.25">
      <c r="A172">
        <v>143</v>
      </c>
      <c r="B172">
        <v>2</v>
      </c>
      <c r="C172" s="1">
        <v>1000000</v>
      </c>
      <c r="D172">
        <v>1</v>
      </c>
      <c r="E172">
        <v>0</v>
      </c>
      <c r="F172">
        <v>0.45</v>
      </c>
      <c r="G172">
        <v>4.45</v>
      </c>
      <c r="H172">
        <v>0.45</v>
      </c>
      <c r="I172">
        <v>0</v>
      </c>
      <c r="J172">
        <v>-6.5837931332188697</v>
      </c>
      <c r="K172">
        <v>-6.5728577515652997</v>
      </c>
      <c r="L172">
        <v>0.75940054911363797</v>
      </c>
      <c r="M172">
        <v>57.996027726318303</v>
      </c>
      <c r="N172">
        <v>0.126636990275415</v>
      </c>
      <c r="O172">
        <v>4.1887902021011199</v>
      </c>
      <c r="P172">
        <v>-3.4822391095874998</v>
      </c>
      <c r="Q172">
        <v>11.1754321841481</v>
      </c>
      <c r="R172">
        <v>12.561267445511</v>
      </c>
      <c r="S172">
        <v>9.9283648204946893</v>
      </c>
      <c r="T172">
        <v>12.545965485581901</v>
      </c>
      <c r="U172">
        <v>0.139287424723336</v>
      </c>
      <c r="V172">
        <v>1.6760161598535801</v>
      </c>
      <c r="W172">
        <v>2</v>
      </c>
      <c r="X172">
        <v>-174.19739270227601</v>
      </c>
      <c r="Y172">
        <v>1</v>
      </c>
    </row>
    <row r="173" spans="1:25" x14ac:dyDescent="0.25">
      <c r="A173">
        <v>143</v>
      </c>
      <c r="B173">
        <v>2</v>
      </c>
      <c r="C173" s="1">
        <v>1000000</v>
      </c>
      <c r="D173">
        <v>1</v>
      </c>
      <c r="E173">
        <v>0</v>
      </c>
      <c r="F173">
        <v>0.47499999999999998</v>
      </c>
      <c r="G173">
        <v>4.4749999999999996</v>
      </c>
      <c r="H173">
        <v>0.47499999999999998</v>
      </c>
      <c r="I173">
        <v>0</v>
      </c>
      <c r="J173">
        <v>-5.9309025737394103</v>
      </c>
      <c r="K173">
        <v>-5.9197810278052696</v>
      </c>
      <c r="L173">
        <v>1.74035382695733</v>
      </c>
      <c r="M173">
        <v>58.633990479294901</v>
      </c>
      <c r="N173">
        <v>0.15387722810518401</v>
      </c>
      <c r="O173">
        <v>4.1887901985173404</v>
      </c>
      <c r="P173">
        <v>-3.2232041345127298</v>
      </c>
      <c r="Q173">
        <v>10.9312181535112</v>
      </c>
      <c r="R173">
        <v>12.5612902024566</v>
      </c>
      <c r="S173">
        <v>9.4987808999319192</v>
      </c>
      <c r="T173">
        <v>12.5460564170703</v>
      </c>
      <c r="U173">
        <v>0.154123637353274</v>
      </c>
      <c r="V173">
        <v>1.6316384797051899</v>
      </c>
      <c r="W173">
        <v>2</v>
      </c>
      <c r="X173">
        <v>-170.20044905904501</v>
      </c>
      <c r="Y173">
        <v>1</v>
      </c>
    </row>
    <row r="174" spans="1:25" x14ac:dyDescent="0.25">
      <c r="A174">
        <v>143</v>
      </c>
      <c r="B174">
        <v>2</v>
      </c>
      <c r="C174" s="1">
        <v>1000000</v>
      </c>
      <c r="D174">
        <v>1</v>
      </c>
      <c r="E174">
        <v>0</v>
      </c>
      <c r="F174">
        <v>0.5</v>
      </c>
      <c r="G174">
        <v>4.5</v>
      </c>
      <c r="H174">
        <v>0.5</v>
      </c>
      <c r="I174">
        <v>0</v>
      </c>
      <c r="J174">
        <v>-5.3810310519087201</v>
      </c>
      <c r="K174">
        <v>-5.3688654089565802</v>
      </c>
      <c r="L174">
        <v>2.6274508582223399</v>
      </c>
      <c r="M174">
        <v>59.215208620890699</v>
      </c>
      <c r="N174">
        <v>0.154550047098438</v>
      </c>
      <c r="O174">
        <v>4.1887902006579996</v>
      </c>
      <c r="P174">
        <v>-2.9936145277920998</v>
      </c>
      <c r="Q174">
        <v>10.7086239888274</v>
      </c>
      <c r="R174">
        <v>12.5613023245016</v>
      </c>
      <c r="S174">
        <v>9.1157245552735109</v>
      </c>
      <c r="T174">
        <v>12.546104852823699</v>
      </c>
      <c r="U174">
        <v>0.17136997479850399</v>
      </c>
      <c r="V174">
        <v>1.5899827766005901</v>
      </c>
      <c r="W174">
        <v>2</v>
      </c>
      <c r="X174">
        <v>-167.55065450600401</v>
      </c>
      <c r="Y174">
        <v>1</v>
      </c>
    </row>
    <row r="175" spans="1:25" x14ac:dyDescent="0.25">
      <c r="A175">
        <v>143</v>
      </c>
      <c r="B175">
        <v>2</v>
      </c>
      <c r="C175" s="1">
        <v>1000000</v>
      </c>
      <c r="D175">
        <v>1</v>
      </c>
      <c r="E175">
        <v>0</v>
      </c>
      <c r="F175">
        <v>0.52500000000000002</v>
      </c>
      <c r="G175">
        <v>4.5250000000000004</v>
      </c>
      <c r="H175">
        <v>0.52500000000000002</v>
      </c>
      <c r="I175">
        <v>0</v>
      </c>
      <c r="J175">
        <v>-4.9154304970213003</v>
      </c>
      <c r="K175">
        <v>-4.9043451724151703</v>
      </c>
      <c r="L175">
        <v>3.4351978659891902</v>
      </c>
      <c r="M175">
        <v>59.750279622959397</v>
      </c>
      <c r="N175">
        <v>3.9884633470830398E-2</v>
      </c>
      <c r="O175">
        <v>4.1887902047866197</v>
      </c>
      <c r="P175">
        <v>-2.7913316630852498</v>
      </c>
      <c r="Q175">
        <v>10.5065343214686</v>
      </c>
      <c r="R175">
        <v>12.561307398956</v>
      </c>
      <c r="S175">
        <v>8.7742777601938293</v>
      </c>
      <c r="T175">
        <v>12.5461251282719</v>
      </c>
      <c r="U175">
        <v>0.188071873394974</v>
      </c>
      <c r="V175">
        <v>1.5516515226888701</v>
      </c>
      <c r="W175">
        <v>2</v>
      </c>
      <c r="X175">
        <v>-165.70505101495499</v>
      </c>
      <c r="Y175">
        <v>1</v>
      </c>
    </row>
    <row r="176" spans="1:25" x14ac:dyDescent="0.25">
      <c r="A176">
        <v>143</v>
      </c>
      <c r="B176">
        <v>2</v>
      </c>
      <c r="C176" s="1">
        <v>1000000</v>
      </c>
      <c r="D176">
        <v>1</v>
      </c>
      <c r="E176">
        <v>0</v>
      </c>
      <c r="F176">
        <v>0.55000000000000004</v>
      </c>
      <c r="G176">
        <v>4.55</v>
      </c>
      <c r="H176">
        <v>0.55000000000000004</v>
      </c>
      <c r="I176">
        <v>0</v>
      </c>
      <c r="J176">
        <v>-4.5207819030862897</v>
      </c>
      <c r="K176">
        <v>-4.5080430328555501</v>
      </c>
      <c r="L176">
        <v>4.1749908479064004</v>
      </c>
      <c r="M176">
        <v>60.245340210656799</v>
      </c>
      <c r="N176">
        <v>0.29211721870281498</v>
      </c>
      <c r="O176">
        <v>4.1887901744536604</v>
      </c>
      <c r="P176">
        <v>-2.6113623987106802</v>
      </c>
      <c r="Q176">
        <v>10.3215745386573</v>
      </c>
      <c r="R176">
        <v>12.5612606075803</v>
      </c>
      <c r="S176">
        <v>8.4680667605315101</v>
      </c>
      <c r="T176">
        <v>12.545938173682901</v>
      </c>
      <c r="U176">
        <v>0.215638148991354</v>
      </c>
      <c r="V176">
        <v>1.5148081832367</v>
      </c>
      <c r="W176">
        <v>2</v>
      </c>
      <c r="X176">
        <v>-164.54472863406599</v>
      </c>
      <c r="Y176">
        <v>1</v>
      </c>
    </row>
    <row r="177" spans="1:25" x14ac:dyDescent="0.25">
      <c r="A177">
        <v>143</v>
      </c>
      <c r="B177">
        <v>2</v>
      </c>
      <c r="C177" s="1">
        <v>1000000</v>
      </c>
      <c r="D177">
        <v>1</v>
      </c>
      <c r="E177">
        <v>0</v>
      </c>
      <c r="F177">
        <v>0.57499999999999996</v>
      </c>
      <c r="G177">
        <v>4.5750000000000002</v>
      </c>
      <c r="H177">
        <v>0.57499999999999996</v>
      </c>
      <c r="I177">
        <v>0</v>
      </c>
      <c r="J177">
        <v>-4.1777257750526902</v>
      </c>
      <c r="K177">
        <v>-4.16535394622914</v>
      </c>
      <c r="L177">
        <v>4.8573075312106901</v>
      </c>
      <c r="M177">
        <v>60.700637257850801</v>
      </c>
      <c r="N177">
        <v>0.241281096217344</v>
      </c>
      <c r="O177">
        <v>4.18879020008439</v>
      </c>
      <c r="P177">
        <v>-2.4517787623130598</v>
      </c>
      <c r="Q177">
        <v>10.1468368520624</v>
      </c>
      <c r="R177">
        <v>12.561238269657</v>
      </c>
      <c r="S177">
        <v>8.1839243277299207</v>
      </c>
      <c r="T177">
        <v>12.5458489214389</v>
      </c>
      <c r="U177">
        <v>0.22566105236374601</v>
      </c>
      <c r="V177">
        <v>1.48015889440243</v>
      </c>
      <c r="W177">
        <v>2</v>
      </c>
      <c r="X177">
        <v>-163.77734625647901</v>
      </c>
      <c r="Y177">
        <v>1</v>
      </c>
    </row>
    <row r="178" spans="1:25" x14ac:dyDescent="0.25">
      <c r="A178">
        <v>143</v>
      </c>
      <c r="B178">
        <v>2</v>
      </c>
      <c r="C178" s="1">
        <v>1000000</v>
      </c>
      <c r="D178">
        <v>1</v>
      </c>
      <c r="E178">
        <v>0</v>
      </c>
      <c r="F178">
        <v>0.6</v>
      </c>
      <c r="G178">
        <v>4.5999999999999996</v>
      </c>
      <c r="H178">
        <v>0.6</v>
      </c>
      <c r="I178">
        <v>0</v>
      </c>
      <c r="J178">
        <v>-3.8805358377485399</v>
      </c>
      <c r="K178">
        <v>-3.8650318500515501</v>
      </c>
      <c r="L178">
        <v>5.4893689593240103</v>
      </c>
      <c r="M178">
        <v>61.120120674040798</v>
      </c>
      <c r="N178">
        <v>9.2654001624237398E-2</v>
      </c>
      <c r="O178">
        <v>4.1887902074712597</v>
      </c>
      <c r="P178">
        <v>-2.3084677121841701</v>
      </c>
      <c r="Q178">
        <v>9.9807428124123891</v>
      </c>
      <c r="R178">
        <v>12.561214562048001</v>
      </c>
      <c r="S178">
        <v>7.9178713519906401</v>
      </c>
      <c r="T178">
        <v>12.545754193739899</v>
      </c>
      <c r="U178">
        <v>0.22172751770779001</v>
      </c>
      <c r="V178">
        <v>1.44835992202397</v>
      </c>
      <c r="W178">
        <v>2</v>
      </c>
      <c r="X178">
        <v>-163.33188591382799</v>
      </c>
      <c r="Y178">
        <v>1</v>
      </c>
    </row>
    <row r="179" spans="1:25" x14ac:dyDescent="0.25">
      <c r="A179">
        <v>143</v>
      </c>
      <c r="B179">
        <v>2</v>
      </c>
      <c r="C179" s="1">
        <v>1000000</v>
      </c>
      <c r="D179">
        <v>1</v>
      </c>
      <c r="E179">
        <v>0</v>
      </c>
      <c r="F179">
        <v>0.625</v>
      </c>
      <c r="G179">
        <v>4.625</v>
      </c>
      <c r="H179">
        <v>0.625</v>
      </c>
      <c r="I179">
        <v>0</v>
      </c>
      <c r="J179">
        <v>-3.6132580858864598</v>
      </c>
      <c r="K179">
        <v>-3.5983069265772101</v>
      </c>
      <c r="L179">
        <v>6.0775240568972704</v>
      </c>
      <c r="M179">
        <v>61.507261344039399</v>
      </c>
      <c r="N179">
        <v>2.29602845035447E-2</v>
      </c>
      <c r="O179">
        <v>4.1887902047864696</v>
      </c>
      <c r="P179">
        <v>-2.1782039407970601</v>
      </c>
      <c r="Q179">
        <v>9.8208865841414301</v>
      </c>
      <c r="R179">
        <v>12.561217931775101</v>
      </c>
      <c r="S179">
        <v>7.6661656018643196</v>
      </c>
      <c r="T179">
        <v>12.545767655482299</v>
      </c>
      <c r="U179">
        <v>0.25178134097694399</v>
      </c>
      <c r="V179">
        <v>1.4178993450928801</v>
      </c>
      <c r="W179">
        <v>2</v>
      </c>
      <c r="X179">
        <v>-163.315382258981</v>
      </c>
      <c r="Y179">
        <v>1</v>
      </c>
    </row>
    <row r="180" spans="1:25" x14ac:dyDescent="0.25">
      <c r="A180">
        <v>143</v>
      </c>
      <c r="B180">
        <v>2</v>
      </c>
      <c r="C180" s="1">
        <v>1000000</v>
      </c>
      <c r="D180">
        <v>1</v>
      </c>
      <c r="E180">
        <v>0</v>
      </c>
      <c r="F180">
        <v>0.65</v>
      </c>
      <c r="G180">
        <v>4.6500000000000004</v>
      </c>
      <c r="H180">
        <v>0.65</v>
      </c>
      <c r="I180">
        <v>0</v>
      </c>
      <c r="J180">
        <v>-3.38878029207119</v>
      </c>
      <c r="K180">
        <v>-3.3708388881753701</v>
      </c>
      <c r="L180">
        <v>6.6268708631195503</v>
      </c>
      <c r="M180">
        <v>61.879467006573897</v>
      </c>
      <c r="N180">
        <v>9.8812116476588899E-2</v>
      </c>
      <c r="O180">
        <v>4.1887902047864003</v>
      </c>
      <c r="P180">
        <v>-2.0626956751487899</v>
      </c>
      <c r="Q180">
        <v>9.6778023669665494</v>
      </c>
      <c r="R180">
        <v>12.561228912557</v>
      </c>
      <c r="S180">
        <v>7.4443160493893501</v>
      </c>
      <c r="T180">
        <v>12.5458115297356</v>
      </c>
      <c r="U180">
        <v>0.25689573448026998</v>
      </c>
      <c r="V180">
        <v>1.3884768120462201</v>
      </c>
      <c r="W180">
        <v>2</v>
      </c>
      <c r="X180">
        <v>-163.279276679086</v>
      </c>
      <c r="Y180">
        <v>1</v>
      </c>
    </row>
    <row r="181" spans="1:25" x14ac:dyDescent="0.25">
      <c r="A181">
        <v>143</v>
      </c>
      <c r="B181">
        <v>2</v>
      </c>
      <c r="C181" s="1">
        <v>1000000</v>
      </c>
      <c r="D181">
        <v>1</v>
      </c>
      <c r="E181">
        <v>0</v>
      </c>
      <c r="F181">
        <v>0.67500000000000004</v>
      </c>
      <c r="G181">
        <v>4.6749999999999998</v>
      </c>
      <c r="H181">
        <v>0.67500000000000004</v>
      </c>
      <c r="I181">
        <v>0</v>
      </c>
      <c r="J181">
        <v>-3.18150864523128</v>
      </c>
      <c r="K181">
        <v>-3.1660426729446298</v>
      </c>
      <c r="L181">
        <v>7.1414930649618196</v>
      </c>
      <c r="M181">
        <v>62.228464958896701</v>
      </c>
      <c r="N181">
        <v>4.8388753853569298E-2</v>
      </c>
      <c r="O181">
        <v>4.1887902048014096</v>
      </c>
      <c r="P181">
        <v>-1.9553015234108599</v>
      </c>
      <c r="Q181">
        <v>9.5419875783768102</v>
      </c>
      <c r="R181">
        <v>12.5612365493847</v>
      </c>
      <c r="S181">
        <v>7.2368998641538704</v>
      </c>
      <c r="T181">
        <v>12.5458420417296</v>
      </c>
      <c r="U181">
        <v>0.27392876815304501</v>
      </c>
      <c r="V181">
        <v>1.3591775538045601</v>
      </c>
      <c r="W181">
        <v>2</v>
      </c>
      <c r="X181">
        <v>-163.54210246753999</v>
      </c>
      <c r="Y181">
        <v>1</v>
      </c>
    </row>
    <row r="182" spans="1:25" x14ac:dyDescent="0.25">
      <c r="A182">
        <v>143</v>
      </c>
      <c r="B182">
        <v>2</v>
      </c>
      <c r="C182" s="1">
        <v>1000000</v>
      </c>
      <c r="D182">
        <v>1</v>
      </c>
      <c r="E182">
        <v>0</v>
      </c>
      <c r="F182">
        <v>0.7</v>
      </c>
      <c r="G182">
        <v>4.7</v>
      </c>
      <c r="H182">
        <v>0.7</v>
      </c>
      <c r="I182">
        <v>0</v>
      </c>
      <c r="J182">
        <v>-3.0801069645633801</v>
      </c>
      <c r="K182">
        <v>-2.97163526398516</v>
      </c>
      <c r="L182">
        <v>7.62504391823032</v>
      </c>
      <c r="M182">
        <v>62.536399563226503</v>
      </c>
      <c r="N182">
        <v>3.1384829732389097E-2</v>
      </c>
      <c r="O182">
        <v>4.1887902047869403</v>
      </c>
      <c r="P182">
        <v>-1.85498346905251</v>
      </c>
      <c r="Q182">
        <v>9.3964874257198492</v>
      </c>
      <c r="R182">
        <v>12.5612437230771</v>
      </c>
      <c r="S182">
        <v>7.0169831421513003</v>
      </c>
      <c r="T182">
        <v>12.545870703824599</v>
      </c>
      <c r="U182">
        <v>0.26371226200857301</v>
      </c>
      <c r="V182">
        <v>1.33214684384299</v>
      </c>
      <c r="W182">
        <v>2</v>
      </c>
      <c r="X182">
        <v>-163.957965061815</v>
      </c>
      <c r="Y182">
        <v>1</v>
      </c>
    </row>
    <row r="183" spans="1:25" x14ac:dyDescent="0.25">
      <c r="A183">
        <v>143</v>
      </c>
      <c r="B183">
        <v>2</v>
      </c>
      <c r="C183" s="1">
        <v>1000000</v>
      </c>
      <c r="D183">
        <v>1</v>
      </c>
      <c r="E183">
        <v>0</v>
      </c>
      <c r="F183">
        <v>0.72499999999999998</v>
      </c>
      <c r="G183">
        <v>4.7249999999999996</v>
      </c>
      <c r="H183">
        <v>0.72499999999999998</v>
      </c>
      <c r="I183">
        <v>0</v>
      </c>
      <c r="J183">
        <v>-2.6743892155130302</v>
      </c>
      <c r="K183">
        <v>-2.8023802253576902</v>
      </c>
      <c r="L183">
        <v>8.0806001310468396</v>
      </c>
      <c r="M183">
        <v>62.837575832017798</v>
      </c>
      <c r="N183">
        <v>1.15039526548375E-3</v>
      </c>
      <c r="O183">
        <v>4.1887902047864802</v>
      </c>
      <c r="P183">
        <v>-1.7632236976951201</v>
      </c>
      <c r="Q183">
        <v>9.2657124433851692</v>
      </c>
      <c r="R183">
        <v>12.561251388493901</v>
      </c>
      <c r="S183">
        <v>6.8236544938624402</v>
      </c>
      <c r="T183">
        <v>12.5459013303332</v>
      </c>
      <c r="U183">
        <v>0.26333736671055602</v>
      </c>
      <c r="V183">
        <v>1.30570667295029</v>
      </c>
      <c r="W183">
        <v>2</v>
      </c>
      <c r="X183">
        <v>-154.30558670377701</v>
      </c>
      <c r="Y183">
        <v>1</v>
      </c>
    </row>
    <row r="184" spans="1:25" x14ac:dyDescent="0.25">
      <c r="A184">
        <v>143</v>
      </c>
      <c r="B184">
        <v>2</v>
      </c>
      <c r="C184" s="1">
        <v>1000000</v>
      </c>
      <c r="D184">
        <v>1</v>
      </c>
      <c r="E184">
        <v>0</v>
      </c>
      <c r="F184">
        <v>0.75</v>
      </c>
      <c r="G184">
        <v>4.75</v>
      </c>
      <c r="H184">
        <v>0.75</v>
      </c>
      <c r="I184">
        <v>0</v>
      </c>
      <c r="J184">
        <v>-2.1103050712028102</v>
      </c>
      <c r="K184">
        <v>-2.6491401083986998</v>
      </c>
      <c r="L184">
        <v>8.5110008492689992</v>
      </c>
      <c r="M184">
        <v>63.1211875256867</v>
      </c>
      <c r="N184">
        <v>1.0502785316048901E-3</v>
      </c>
      <c r="O184">
        <v>4.1887902047864101</v>
      </c>
      <c r="P184">
        <v>-1.6783967096886401</v>
      </c>
      <c r="Q184">
        <v>9.1402740532316802</v>
      </c>
      <c r="R184">
        <v>12.561258376942</v>
      </c>
      <c r="S184">
        <v>6.6398390204521496</v>
      </c>
      <c r="T184">
        <v>12.545929254567399</v>
      </c>
      <c r="U184">
        <v>0.27322850860775599</v>
      </c>
      <c r="V184">
        <v>1.27946648625091</v>
      </c>
      <c r="W184">
        <v>2</v>
      </c>
      <c r="X184">
        <v>-164.83539762668801</v>
      </c>
      <c r="Y184">
        <v>1</v>
      </c>
    </row>
    <row r="185" spans="1:25" x14ac:dyDescent="0.25">
      <c r="A185">
        <v>143</v>
      </c>
      <c r="B185">
        <v>2</v>
      </c>
      <c r="C185" s="1">
        <v>1000000</v>
      </c>
      <c r="D185">
        <v>1</v>
      </c>
      <c r="E185">
        <v>0</v>
      </c>
      <c r="F185">
        <v>0.77500000000000002</v>
      </c>
      <c r="G185">
        <v>4.7750000000000004</v>
      </c>
      <c r="H185">
        <v>0.77500000000000002</v>
      </c>
      <c r="I185">
        <v>0</v>
      </c>
      <c r="J185">
        <v>-2.42533881676232</v>
      </c>
      <c r="K185">
        <v>-2.5072846388139798</v>
      </c>
      <c r="L185">
        <v>8.9178306024960197</v>
      </c>
      <c r="M185">
        <v>63.385198541091903</v>
      </c>
      <c r="N185">
        <v>4.1330213759115497E-2</v>
      </c>
      <c r="O185">
        <v>4.1887902048561401</v>
      </c>
      <c r="P185">
        <v>-1.59843885194149</v>
      </c>
      <c r="Q185">
        <v>9.0163875537266893</v>
      </c>
      <c r="R185">
        <v>12.561258531002901</v>
      </c>
      <c r="S185">
        <v>6.4610144495519801</v>
      </c>
      <c r="T185">
        <v>12.545929868483199</v>
      </c>
      <c r="U185">
        <v>0.24998854172764301</v>
      </c>
      <c r="V185">
        <v>1.2552107900440199</v>
      </c>
      <c r="W185">
        <v>2</v>
      </c>
      <c r="X185">
        <v>-155.355928647974</v>
      </c>
      <c r="Y185">
        <v>1</v>
      </c>
    </row>
    <row r="186" spans="1:25" x14ac:dyDescent="0.25">
      <c r="A186">
        <v>143</v>
      </c>
      <c r="B186">
        <v>2</v>
      </c>
      <c r="C186" s="1">
        <v>1000000</v>
      </c>
      <c r="D186">
        <v>1</v>
      </c>
      <c r="E186">
        <v>0</v>
      </c>
      <c r="F186">
        <v>0.8</v>
      </c>
      <c r="G186">
        <v>4.8</v>
      </c>
      <c r="H186">
        <v>0.8</v>
      </c>
      <c r="I186">
        <v>0</v>
      </c>
      <c r="J186">
        <v>-2.5136781137870501</v>
      </c>
      <c r="K186">
        <v>-2.3790360786125002</v>
      </c>
      <c r="L186">
        <v>9.3035980908820104</v>
      </c>
      <c r="M186">
        <v>63.637793875416698</v>
      </c>
      <c r="N186">
        <v>1.7790342879859099E-3</v>
      </c>
      <c r="O186">
        <v>4.1887902047855903</v>
      </c>
      <c r="P186">
        <v>-1.52395997636914</v>
      </c>
      <c r="Q186">
        <v>8.8993065670924896</v>
      </c>
      <c r="R186">
        <v>12.5612634037071</v>
      </c>
      <c r="S186">
        <v>6.2942520114798599</v>
      </c>
      <c r="T186">
        <v>12.5459493374731</v>
      </c>
      <c r="U186">
        <v>0.24609814794474699</v>
      </c>
      <c r="V186">
        <v>1.2306793797520199</v>
      </c>
      <c r="W186">
        <v>2</v>
      </c>
      <c r="X186">
        <v>-155.840033437513</v>
      </c>
      <c r="Y186">
        <v>1</v>
      </c>
    </row>
    <row r="187" spans="1:25" x14ac:dyDescent="0.25">
      <c r="A187">
        <v>143</v>
      </c>
      <c r="B187">
        <v>2</v>
      </c>
      <c r="C187" s="1">
        <v>1000000</v>
      </c>
      <c r="D187">
        <v>1</v>
      </c>
      <c r="E187">
        <v>0</v>
      </c>
      <c r="F187">
        <v>0.82499999999999996</v>
      </c>
      <c r="G187">
        <v>4.8250000000000002</v>
      </c>
      <c r="H187">
        <v>0.82499999999999996</v>
      </c>
      <c r="I187">
        <v>0</v>
      </c>
      <c r="J187">
        <v>-2.2816119537927402</v>
      </c>
      <c r="K187">
        <v>-2.26101642011198</v>
      </c>
      <c r="L187">
        <v>9.6699597314044095</v>
      </c>
      <c r="M187">
        <v>63.876989377411697</v>
      </c>
      <c r="N187">
        <v>3.3614931102646001E-3</v>
      </c>
      <c r="O187">
        <v>4.1887902047864198</v>
      </c>
      <c r="P187">
        <v>-1.4537543762702601</v>
      </c>
      <c r="Q187">
        <v>8.7860339028761008</v>
      </c>
      <c r="R187">
        <v>12.5612656529271</v>
      </c>
      <c r="S187">
        <v>6.1350239758846703</v>
      </c>
      <c r="T187">
        <v>12.545958324255601</v>
      </c>
      <c r="U187">
        <v>0.241827590597785</v>
      </c>
      <c r="V187">
        <v>1.2066470127211499</v>
      </c>
      <c r="W187">
        <v>2</v>
      </c>
      <c r="X187">
        <v>-166.59561238984199</v>
      </c>
      <c r="Y187">
        <v>1</v>
      </c>
    </row>
    <row r="188" spans="1:25" x14ac:dyDescent="0.25">
      <c r="A188">
        <v>143</v>
      </c>
      <c r="B188">
        <v>2</v>
      </c>
      <c r="C188" s="1">
        <v>1000000</v>
      </c>
      <c r="D188">
        <v>1</v>
      </c>
      <c r="E188">
        <v>0</v>
      </c>
      <c r="F188">
        <v>0.85</v>
      </c>
      <c r="G188">
        <v>4.8499999999999996</v>
      </c>
      <c r="H188">
        <v>0.85</v>
      </c>
      <c r="I188">
        <v>0</v>
      </c>
      <c r="J188">
        <v>-2.1523669259821001</v>
      </c>
      <c r="K188">
        <v>-2.1481092562084698</v>
      </c>
      <c r="L188">
        <v>10.018148719413601</v>
      </c>
      <c r="M188">
        <v>64.099299658296204</v>
      </c>
      <c r="N188">
        <v>1.3164276393396999E-4</v>
      </c>
      <c r="O188">
        <v>4.1887902047864101</v>
      </c>
      <c r="P188">
        <v>-1.3846779066322701</v>
      </c>
      <c r="Q188">
        <v>8.6740661241964396</v>
      </c>
      <c r="R188">
        <v>12.561266647246599</v>
      </c>
      <c r="S188">
        <v>5.9774082996674203</v>
      </c>
      <c r="T188">
        <v>12.545962296718599</v>
      </c>
      <c r="U188">
        <v>0.16457006697190699</v>
      </c>
      <c r="V188">
        <v>1.1827664114589</v>
      </c>
      <c r="W188">
        <v>2</v>
      </c>
      <c r="X188">
        <v>-162.231962740059</v>
      </c>
      <c r="Y188">
        <v>1</v>
      </c>
    </row>
    <row r="189" spans="1:25" x14ac:dyDescent="0.25">
      <c r="A189">
        <v>143</v>
      </c>
      <c r="B189">
        <v>2</v>
      </c>
      <c r="C189" s="1">
        <v>1000000</v>
      </c>
      <c r="D189">
        <v>1</v>
      </c>
      <c r="E189">
        <v>0</v>
      </c>
      <c r="F189">
        <v>0.875</v>
      </c>
      <c r="G189">
        <v>4.875</v>
      </c>
      <c r="H189">
        <v>0.875</v>
      </c>
      <c r="I189">
        <v>0</v>
      </c>
      <c r="J189">
        <v>-2.0602464309064099</v>
      </c>
      <c r="K189">
        <v>-2.0452455506986502</v>
      </c>
      <c r="L189">
        <v>10.3495976532179</v>
      </c>
      <c r="M189">
        <v>64.306833893295405</v>
      </c>
      <c r="N189">
        <v>1.84581623835928E-2</v>
      </c>
      <c r="O189">
        <v>4.1887902048260504</v>
      </c>
      <c r="P189">
        <v>-1.3222786145924901</v>
      </c>
      <c r="Q189">
        <v>8.5608370581834894</v>
      </c>
      <c r="R189">
        <v>12.561272117587601</v>
      </c>
      <c r="S189">
        <v>5.8222347063559203</v>
      </c>
      <c r="T189">
        <v>12.545984154320299</v>
      </c>
      <c r="U189">
        <v>0.21139827072924799</v>
      </c>
      <c r="V189">
        <v>1.16042543378912</v>
      </c>
      <c r="W189">
        <v>2</v>
      </c>
      <c r="X189">
        <v>-152.556410206956</v>
      </c>
      <c r="Y189">
        <v>1</v>
      </c>
    </row>
    <row r="190" spans="1:25" x14ac:dyDescent="0.25">
      <c r="A190">
        <v>143</v>
      </c>
      <c r="B190">
        <v>2</v>
      </c>
      <c r="C190" s="1">
        <v>1000000</v>
      </c>
      <c r="D190">
        <v>1</v>
      </c>
      <c r="E190">
        <v>0</v>
      </c>
      <c r="F190">
        <v>0.9</v>
      </c>
      <c r="G190">
        <v>4.9000000000000004</v>
      </c>
      <c r="H190">
        <v>0.9</v>
      </c>
      <c r="I190">
        <v>0</v>
      </c>
      <c r="J190">
        <v>-1.9670538235741299</v>
      </c>
      <c r="K190">
        <v>-1.9486213161418999</v>
      </c>
      <c r="L190">
        <v>10.665843455288201</v>
      </c>
      <c r="M190">
        <v>64.503553767141796</v>
      </c>
      <c r="N190">
        <v>3.9288956086682897E-2</v>
      </c>
      <c r="O190">
        <v>4.1887902048057803</v>
      </c>
      <c r="P190">
        <v>-1.26191786384936</v>
      </c>
      <c r="Q190">
        <v>8.4498614883902903</v>
      </c>
      <c r="R190">
        <v>12.561280266602999</v>
      </c>
      <c r="S190">
        <v>5.6725524224982697</v>
      </c>
      <c r="T190">
        <v>12.5460167152505</v>
      </c>
      <c r="U190">
        <v>0.187977942838118</v>
      </c>
      <c r="V190">
        <v>1.1382233221670901</v>
      </c>
      <c r="W190">
        <v>2</v>
      </c>
      <c r="X190">
        <v>-168.69428546566999</v>
      </c>
      <c r="Y190">
        <v>1</v>
      </c>
    </row>
    <row r="191" spans="1:25" x14ac:dyDescent="0.25">
      <c r="A191">
        <v>143</v>
      </c>
      <c r="B191">
        <v>2</v>
      </c>
      <c r="C191" s="1">
        <v>1000000</v>
      </c>
      <c r="D191">
        <v>1</v>
      </c>
      <c r="E191">
        <v>0</v>
      </c>
      <c r="F191">
        <v>0.92500000000000004</v>
      </c>
      <c r="G191">
        <v>4.9249999999999998</v>
      </c>
      <c r="H191">
        <v>0.92500000000000004</v>
      </c>
      <c r="I191">
        <v>0</v>
      </c>
      <c r="J191">
        <v>-1.8759346783609001</v>
      </c>
      <c r="K191">
        <v>-1.8610396482570399</v>
      </c>
      <c r="L191">
        <v>10.967832554589901</v>
      </c>
      <c r="M191">
        <v>64.6984734228148</v>
      </c>
      <c r="N191">
        <v>4.2008612388046403E-3</v>
      </c>
      <c r="O191">
        <v>4.1887902047715704</v>
      </c>
      <c r="P191">
        <v>-1.2040236084023099</v>
      </c>
      <c r="Q191">
        <v>8.3494622340993505</v>
      </c>
      <c r="R191">
        <v>12.561289894398501</v>
      </c>
      <c r="S191">
        <v>5.5384505085696798</v>
      </c>
      <c r="T191">
        <v>12.546055184641901</v>
      </c>
      <c r="U191">
        <v>0.22101851068322301</v>
      </c>
      <c r="V191">
        <v>1.1162272235697599</v>
      </c>
      <c r="W191">
        <v>2</v>
      </c>
      <c r="X191">
        <v>-159.06166461456101</v>
      </c>
      <c r="Y191">
        <v>1</v>
      </c>
    </row>
    <row r="192" spans="1:25" x14ac:dyDescent="0.25">
      <c r="A192">
        <v>143</v>
      </c>
      <c r="B192">
        <v>2</v>
      </c>
      <c r="C192" s="1">
        <v>1000000</v>
      </c>
      <c r="D192">
        <v>1</v>
      </c>
      <c r="E192">
        <v>0</v>
      </c>
      <c r="F192">
        <v>0.95</v>
      </c>
      <c r="G192">
        <v>4.95</v>
      </c>
      <c r="H192">
        <v>0.95</v>
      </c>
      <c r="I192">
        <v>0</v>
      </c>
      <c r="J192">
        <v>-1.79234169029226</v>
      </c>
      <c r="K192">
        <v>-1.77938009903294</v>
      </c>
      <c r="L192">
        <v>11.256235158949901</v>
      </c>
      <c r="M192">
        <v>64.880136690437396</v>
      </c>
      <c r="N192">
        <v>5.2086213369010502E-2</v>
      </c>
      <c r="O192">
        <v>4.1887902047886296</v>
      </c>
      <c r="P192">
        <v>-1.1502306687994199</v>
      </c>
      <c r="Q192">
        <v>8.2474456672761303</v>
      </c>
      <c r="R192">
        <v>12.561296923648101</v>
      </c>
      <c r="S192">
        <v>5.4047751964597897</v>
      </c>
      <c r="T192">
        <v>12.5460832709008</v>
      </c>
      <c r="U192">
        <v>0.22554658427474999</v>
      </c>
      <c r="V192">
        <v>1.0949472141748999</v>
      </c>
      <c r="W192">
        <v>2</v>
      </c>
      <c r="X192">
        <v>-164.95161531794099</v>
      </c>
      <c r="Y192">
        <v>1</v>
      </c>
    </row>
    <row r="193" spans="1:25" x14ac:dyDescent="0.25">
      <c r="A193">
        <v>143</v>
      </c>
      <c r="B193">
        <v>2</v>
      </c>
      <c r="C193" s="1">
        <v>1000000</v>
      </c>
      <c r="D193">
        <v>1</v>
      </c>
      <c r="E193">
        <v>0</v>
      </c>
      <c r="F193">
        <v>0.97499999999999998</v>
      </c>
      <c r="G193">
        <v>4.9749999999999996</v>
      </c>
      <c r="H193">
        <v>0.97499999999999998</v>
      </c>
      <c r="I193">
        <v>0</v>
      </c>
      <c r="J193">
        <v>-1.6984080472210401</v>
      </c>
      <c r="K193">
        <v>-1.7004753573308899</v>
      </c>
      <c r="L193">
        <v>11.5319200624986</v>
      </c>
      <c r="M193">
        <v>65.048107232378399</v>
      </c>
      <c r="N193">
        <v>1.7572220990236899E-2</v>
      </c>
      <c r="O193">
        <v>4.1887902047867298</v>
      </c>
      <c r="P193">
        <v>-1.0974517829742401</v>
      </c>
      <c r="Q193">
        <v>8.1435984979639109</v>
      </c>
      <c r="R193">
        <v>12.5613015481006</v>
      </c>
      <c r="S193">
        <v>5.2699006476031904</v>
      </c>
      <c r="T193">
        <v>12.5461017483455</v>
      </c>
      <c r="U193">
        <v>0.227416763140776</v>
      </c>
      <c r="V193">
        <v>1.0737619177045701</v>
      </c>
      <c r="W193">
        <v>2</v>
      </c>
      <c r="X193">
        <v>-160.39577558360401</v>
      </c>
      <c r="Y193">
        <v>1</v>
      </c>
    </row>
    <row r="194" spans="1:25" x14ac:dyDescent="0.25">
      <c r="A194">
        <v>143</v>
      </c>
      <c r="B194">
        <v>2</v>
      </c>
      <c r="C194" s="1">
        <v>1000000</v>
      </c>
      <c r="D194">
        <v>1</v>
      </c>
      <c r="E194">
        <v>0</v>
      </c>
      <c r="F194">
        <v>1</v>
      </c>
      <c r="G194">
        <v>5</v>
      </c>
      <c r="H194">
        <v>1</v>
      </c>
      <c r="I194">
        <v>0</v>
      </c>
      <c r="J194">
        <v>-1.6444984132268201</v>
      </c>
      <c r="K194">
        <v>-1.6307713854641801</v>
      </c>
      <c r="L194">
        <v>11.7923827753149</v>
      </c>
      <c r="M194">
        <v>65.217063189165103</v>
      </c>
      <c r="N194">
        <v>1.39748104842938E-3</v>
      </c>
      <c r="O194">
        <v>4.1887902047867103</v>
      </c>
      <c r="P194">
        <v>-1.04714285289836</v>
      </c>
      <c r="Q194">
        <v>8.0556578248331494</v>
      </c>
      <c r="R194">
        <v>12.561280108708299</v>
      </c>
      <c r="S194">
        <v>5.15538342568862</v>
      </c>
      <c r="T194">
        <v>12.546016085365499</v>
      </c>
      <c r="U194">
        <v>0.115015636458946</v>
      </c>
      <c r="V194">
        <v>1.05327473494752</v>
      </c>
      <c r="W194">
        <v>2</v>
      </c>
      <c r="X194">
        <v>-155.46440687982499</v>
      </c>
      <c r="Y194">
        <v>1</v>
      </c>
    </row>
    <row r="195" spans="1:25" x14ac:dyDescent="0.25">
      <c r="A195">
        <v>143</v>
      </c>
      <c r="B195">
        <v>2</v>
      </c>
      <c r="C195" s="1">
        <v>1000000</v>
      </c>
      <c r="D195">
        <v>1</v>
      </c>
      <c r="E195">
        <v>0</v>
      </c>
      <c r="F195">
        <v>1.0249999999999999</v>
      </c>
      <c r="G195">
        <v>5.0250000000000004</v>
      </c>
      <c r="H195">
        <v>1.0249999999999999</v>
      </c>
      <c r="I195">
        <v>0</v>
      </c>
      <c r="J195">
        <v>-1.57467423890381</v>
      </c>
      <c r="K195">
        <v>-1.5618367970698901</v>
      </c>
      <c r="L195">
        <v>12.041411006377601</v>
      </c>
      <c r="M195">
        <v>65.369877539839294</v>
      </c>
      <c r="N195">
        <v>2.6394895587154299E-2</v>
      </c>
      <c r="O195">
        <v>4.1887902176519303</v>
      </c>
      <c r="P195">
        <v>-0.99761948851951399</v>
      </c>
      <c r="Q195">
        <v>7.9601885141370801</v>
      </c>
      <c r="R195">
        <v>12.561315410282999</v>
      </c>
      <c r="S195">
        <v>5.0347342232515002</v>
      </c>
      <c r="T195">
        <v>12.546157136842201</v>
      </c>
      <c r="U195">
        <v>-0.134213624306257</v>
      </c>
      <c r="V195">
        <v>1.0334278013432101</v>
      </c>
      <c r="W195">
        <v>2</v>
      </c>
      <c r="X195">
        <v>-161.050071596007</v>
      </c>
      <c r="Y195">
        <v>1</v>
      </c>
    </row>
    <row r="196" spans="1:25" x14ac:dyDescent="0.25">
      <c r="A196">
        <v>143</v>
      </c>
      <c r="B196">
        <v>2</v>
      </c>
      <c r="C196" s="1">
        <v>1000000</v>
      </c>
      <c r="D196">
        <v>1</v>
      </c>
      <c r="E196">
        <v>0</v>
      </c>
      <c r="F196">
        <v>1.05</v>
      </c>
      <c r="G196">
        <v>5.05</v>
      </c>
      <c r="H196">
        <v>1.05</v>
      </c>
      <c r="I196">
        <v>0</v>
      </c>
      <c r="J196">
        <v>-1.5103848556597199</v>
      </c>
      <c r="K196">
        <v>-1.4995571397066001</v>
      </c>
      <c r="L196">
        <v>12.2831352299249</v>
      </c>
      <c r="M196">
        <v>65.522732661819504</v>
      </c>
      <c r="N196">
        <v>0.151188312375858</v>
      </c>
      <c r="O196">
        <v>4.1887902078457504</v>
      </c>
      <c r="P196">
        <v>-0.95150759463282297</v>
      </c>
      <c r="Q196">
        <v>7.8716461985135702</v>
      </c>
      <c r="R196">
        <v>12.5613145159966</v>
      </c>
      <c r="S196">
        <v>4.9234714201995997</v>
      </c>
      <c r="T196">
        <v>12.546153564166399</v>
      </c>
      <c r="U196">
        <v>-0.14064842811693301</v>
      </c>
      <c r="V196">
        <v>1.0133244073135801</v>
      </c>
      <c r="W196">
        <v>2</v>
      </c>
      <c r="X196">
        <v>-167.09817567547401</v>
      </c>
      <c r="Y196">
        <v>1</v>
      </c>
    </row>
    <row r="197" spans="1:25" x14ac:dyDescent="0.25">
      <c r="A197">
        <v>143</v>
      </c>
      <c r="B197">
        <v>2</v>
      </c>
      <c r="C197" s="1">
        <v>1000000</v>
      </c>
      <c r="D197">
        <v>1</v>
      </c>
      <c r="E197">
        <v>0</v>
      </c>
      <c r="F197">
        <v>1.075</v>
      </c>
      <c r="G197">
        <v>5.0750000000000002</v>
      </c>
      <c r="H197">
        <v>1.075</v>
      </c>
      <c r="I197">
        <v>0</v>
      </c>
      <c r="J197">
        <v>-1.44867543701955</v>
      </c>
      <c r="K197">
        <v>-1.43837726669045</v>
      </c>
      <c r="L197">
        <v>12.514909039120001</v>
      </c>
      <c r="M197">
        <v>65.6625857782726</v>
      </c>
      <c r="N197">
        <v>0.27412831377375502</v>
      </c>
      <c r="O197">
        <v>4.1887902054907302</v>
      </c>
      <c r="P197">
        <v>-0.90594131922982302</v>
      </c>
      <c r="Q197">
        <v>7.7789445420218799</v>
      </c>
      <c r="R197">
        <v>12.5613150198305</v>
      </c>
      <c r="S197">
        <v>4.80837458909419</v>
      </c>
      <c r="T197">
        <v>12.5461555771561</v>
      </c>
      <c r="U197">
        <v>-0.136688169692845</v>
      </c>
      <c r="V197">
        <v>0.99315606706609905</v>
      </c>
      <c r="W197">
        <v>2</v>
      </c>
      <c r="X197">
        <v>-157.19062977455201</v>
      </c>
      <c r="Y197">
        <v>1</v>
      </c>
    </row>
    <row r="198" spans="1:25" x14ac:dyDescent="0.25">
      <c r="A198">
        <v>143</v>
      </c>
      <c r="B198">
        <v>2</v>
      </c>
      <c r="C198" s="1">
        <v>1000000</v>
      </c>
      <c r="D198">
        <v>1</v>
      </c>
      <c r="E198">
        <v>0</v>
      </c>
      <c r="F198">
        <v>1.1000000000000001</v>
      </c>
      <c r="G198">
        <v>5.0999999999999996</v>
      </c>
      <c r="H198">
        <v>1.1000000000000001</v>
      </c>
      <c r="I198">
        <v>0</v>
      </c>
      <c r="J198">
        <v>-1.38751007218912</v>
      </c>
      <c r="K198">
        <v>-1.3798226017934401</v>
      </c>
      <c r="L198">
        <v>12.737220278613</v>
      </c>
      <c r="M198">
        <v>65.795345819177598</v>
      </c>
      <c r="N198">
        <v>0.37419580911142702</v>
      </c>
      <c r="O198">
        <v>4.1887902281750096</v>
      </c>
      <c r="P198">
        <v>-0.86094491987412403</v>
      </c>
      <c r="Q198">
        <v>7.6875203271287802</v>
      </c>
      <c r="R198">
        <v>12.5613154802586</v>
      </c>
      <c r="S198">
        <v>4.6962538265992002</v>
      </c>
      <c r="T198">
        <v>12.546157416788899</v>
      </c>
      <c r="U198">
        <v>-0.13396810922359001</v>
      </c>
      <c r="V198">
        <v>0.97301457955094495</v>
      </c>
      <c r="W198">
        <v>2</v>
      </c>
      <c r="X198">
        <v>-168.72333578537501</v>
      </c>
      <c r="Y198">
        <v>1</v>
      </c>
    </row>
    <row r="199" spans="1:25" x14ac:dyDescent="0.25">
      <c r="A199">
        <v>143</v>
      </c>
      <c r="B199">
        <v>2</v>
      </c>
      <c r="C199" s="1">
        <v>1000000</v>
      </c>
      <c r="D199">
        <v>1</v>
      </c>
      <c r="E199">
        <v>0</v>
      </c>
      <c r="F199">
        <v>1.125</v>
      </c>
      <c r="G199">
        <v>5.125</v>
      </c>
      <c r="H199">
        <v>1.125</v>
      </c>
      <c r="I199">
        <v>0</v>
      </c>
      <c r="J199">
        <v>-1.3299606408198901</v>
      </c>
      <c r="K199">
        <v>-1.3233436572972701</v>
      </c>
      <c r="L199">
        <v>12.947405332143701</v>
      </c>
      <c r="M199">
        <v>65.917933786710606</v>
      </c>
      <c r="N199">
        <v>0.25213283000738901</v>
      </c>
      <c r="O199">
        <v>4.1887902063171101</v>
      </c>
      <c r="P199">
        <v>-0.81620429461694499</v>
      </c>
      <c r="Q199">
        <v>7.5957605872750698</v>
      </c>
      <c r="R199">
        <v>12.561319457976101</v>
      </c>
      <c r="S199">
        <v>4.5865607604381404</v>
      </c>
      <c r="T199">
        <v>12.546173308316099</v>
      </c>
      <c r="U199">
        <v>-0.410214981935144</v>
      </c>
      <c r="V199">
        <v>0.95446386898196101</v>
      </c>
      <c r="W199">
        <v>2</v>
      </c>
      <c r="X199">
        <v>-169.29170447470699</v>
      </c>
      <c r="Y199">
        <v>1</v>
      </c>
    </row>
    <row r="200" spans="1:25" x14ac:dyDescent="0.25">
      <c r="A200">
        <v>143</v>
      </c>
      <c r="B200">
        <v>2</v>
      </c>
      <c r="C200" s="1">
        <v>1000000</v>
      </c>
      <c r="D200">
        <v>1</v>
      </c>
      <c r="E200">
        <v>0</v>
      </c>
      <c r="F200">
        <v>1.1499999999999999</v>
      </c>
      <c r="G200">
        <v>5.15</v>
      </c>
      <c r="H200">
        <v>1.1499999999999999</v>
      </c>
      <c r="I200">
        <v>0</v>
      </c>
      <c r="J200">
        <v>-1.2768587081215901</v>
      </c>
      <c r="K200">
        <v>-1.27127496942869</v>
      </c>
      <c r="L200">
        <v>13.1520670991211</v>
      </c>
      <c r="M200">
        <v>66.038804750653895</v>
      </c>
      <c r="N200">
        <v>0.37883605903321899</v>
      </c>
      <c r="O200">
        <v>4.1887902049300498</v>
      </c>
      <c r="P200">
        <v>-0.77404820868405899</v>
      </c>
      <c r="Q200">
        <v>7.5083451847281202</v>
      </c>
      <c r="R200">
        <v>12.5613189393744</v>
      </c>
      <c r="S200">
        <v>4.4816604950438501</v>
      </c>
      <c r="T200">
        <v>12.5461712365564</v>
      </c>
      <c r="U200">
        <v>-0.41121798728680198</v>
      </c>
      <c r="V200">
        <v>0.93494925291925701</v>
      </c>
      <c r="W200">
        <v>2</v>
      </c>
      <c r="X200">
        <v>-164.65123930780399</v>
      </c>
      <c r="Y200">
        <v>1</v>
      </c>
    </row>
    <row r="201" spans="1:25" x14ac:dyDescent="0.25">
      <c r="A201">
        <v>143</v>
      </c>
      <c r="B201">
        <v>2</v>
      </c>
      <c r="C201" s="1">
        <v>1000000</v>
      </c>
      <c r="D201">
        <v>1</v>
      </c>
      <c r="E201">
        <v>0</v>
      </c>
      <c r="F201">
        <v>1.175</v>
      </c>
      <c r="G201">
        <v>5.1749999999999998</v>
      </c>
      <c r="H201">
        <v>1.175</v>
      </c>
      <c r="I201">
        <v>0</v>
      </c>
      <c r="J201">
        <v>-1.2260175514334499</v>
      </c>
      <c r="K201">
        <v>-1.2196067218179101</v>
      </c>
      <c r="L201">
        <v>13.347525928342501</v>
      </c>
      <c r="M201">
        <v>66.146665940666907</v>
      </c>
      <c r="N201">
        <v>0.35888835563529298</v>
      </c>
      <c r="O201">
        <v>4.1887902040509299</v>
      </c>
      <c r="P201">
        <v>-0.73194049230365898</v>
      </c>
      <c r="Q201">
        <v>7.4158489724125003</v>
      </c>
      <c r="R201">
        <v>12.5613197646706</v>
      </c>
      <c r="S201">
        <v>4.3720025708205004</v>
      </c>
      <c r="T201">
        <v>12.546174533631101</v>
      </c>
      <c r="U201">
        <v>-0.36197881934974402</v>
      </c>
      <c r="V201">
        <v>0.91492655970130099</v>
      </c>
      <c r="W201">
        <v>2</v>
      </c>
      <c r="X201">
        <v>-165.405025747065</v>
      </c>
      <c r="Y201">
        <v>1</v>
      </c>
    </row>
    <row r="202" spans="1:25" x14ac:dyDescent="0.25">
      <c r="A202">
        <v>143</v>
      </c>
      <c r="B202">
        <v>2</v>
      </c>
      <c r="C202" s="1">
        <v>1000000</v>
      </c>
      <c r="D202">
        <v>1</v>
      </c>
      <c r="E202">
        <v>0</v>
      </c>
      <c r="F202">
        <v>1.2</v>
      </c>
      <c r="G202">
        <v>5.2</v>
      </c>
      <c r="H202">
        <v>1.2</v>
      </c>
      <c r="I202">
        <v>0</v>
      </c>
      <c r="J202">
        <v>-1.1761211134887699</v>
      </c>
      <c r="K202">
        <v>-1.16974552710371</v>
      </c>
      <c r="L202">
        <v>13.5362388769214</v>
      </c>
      <c r="M202">
        <v>66.246049090044394</v>
      </c>
      <c r="N202">
        <v>0.41199417439325697</v>
      </c>
      <c r="O202">
        <v>4.1887901936859899</v>
      </c>
      <c r="P202">
        <v>-0.69115804302155504</v>
      </c>
      <c r="Q202">
        <v>7.3199514104636396</v>
      </c>
      <c r="R202">
        <v>12.5613222285888</v>
      </c>
      <c r="S202">
        <v>4.2601995465532401</v>
      </c>
      <c r="T202">
        <v>12.5461843770314</v>
      </c>
      <c r="U202">
        <v>-0.40195352449117799</v>
      </c>
      <c r="V202">
        <v>0.89603719515659597</v>
      </c>
      <c r="W202">
        <v>2</v>
      </c>
      <c r="X202">
        <v>-171.617540027567</v>
      </c>
      <c r="Y202">
        <v>1</v>
      </c>
    </row>
    <row r="203" spans="1:25" x14ac:dyDescent="0.25">
      <c r="A203">
        <v>143</v>
      </c>
      <c r="B203">
        <v>2</v>
      </c>
      <c r="C203" s="1">
        <v>1000000</v>
      </c>
      <c r="D203">
        <v>1</v>
      </c>
      <c r="E203">
        <v>0</v>
      </c>
      <c r="F203">
        <v>1.2250000000000001</v>
      </c>
      <c r="G203">
        <v>5.2249999999999996</v>
      </c>
      <c r="H203">
        <v>1.2250000000000001</v>
      </c>
      <c r="I203">
        <v>0</v>
      </c>
      <c r="J203">
        <v>-1.12960721721696</v>
      </c>
      <c r="K203">
        <v>-1.1253124184880601</v>
      </c>
      <c r="L203">
        <v>13.718266510931</v>
      </c>
      <c r="M203">
        <v>66.351838736545005</v>
      </c>
      <c r="N203">
        <v>0.415036310151424</v>
      </c>
      <c r="O203">
        <v>4.1887902049178196</v>
      </c>
      <c r="P203">
        <v>-0.65178499340604201</v>
      </c>
      <c r="Q203">
        <v>7.2379630264785701</v>
      </c>
      <c r="R203">
        <v>12.5613240641733</v>
      </c>
      <c r="S203">
        <v>4.1649187921481801</v>
      </c>
      <c r="T203">
        <v>12.5461917103381</v>
      </c>
      <c r="U203">
        <v>-0.44309210901092999</v>
      </c>
      <c r="V203">
        <v>0.87597414577714705</v>
      </c>
      <c r="W203">
        <v>2</v>
      </c>
      <c r="X203">
        <v>-166.82753048087599</v>
      </c>
      <c r="Y203">
        <v>1</v>
      </c>
    </row>
    <row r="204" spans="1:25" x14ac:dyDescent="0.25">
      <c r="A204">
        <v>143</v>
      </c>
      <c r="B204">
        <v>2</v>
      </c>
      <c r="C204" s="1">
        <v>1000000</v>
      </c>
      <c r="D204">
        <v>1</v>
      </c>
      <c r="E204">
        <v>0</v>
      </c>
      <c r="F204">
        <v>1.25</v>
      </c>
      <c r="G204">
        <v>5.25</v>
      </c>
      <c r="H204">
        <v>1.25</v>
      </c>
      <c r="I204">
        <v>0</v>
      </c>
      <c r="J204">
        <v>-9.4229578417669199E-2</v>
      </c>
      <c r="K204">
        <v>0</v>
      </c>
      <c r="L204">
        <v>14.982501618669501</v>
      </c>
      <c r="M204">
        <v>64.289106129834295</v>
      </c>
      <c r="N204" s="1">
        <v>3.32541062241548E-6</v>
      </c>
      <c r="O204">
        <v>4.1887902047863301</v>
      </c>
      <c r="P204">
        <v>0.40906146706597601</v>
      </c>
      <c r="Q204">
        <v>0.87112410144559205</v>
      </c>
      <c r="R204">
        <v>12.561324622429201</v>
      </c>
      <c r="S204">
        <v>6.15075567690014E-4</v>
      </c>
      <c r="T204">
        <v>12.546193940650699</v>
      </c>
      <c r="U204">
        <v>-4.4397748042405802E-2</v>
      </c>
      <c r="V204" s="1">
        <v>1.7351741367618601E-6</v>
      </c>
      <c r="W204">
        <v>2</v>
      </c>
      <c r="X204">
        <v>150.92095250511099</v>
      </c>
      <c r="Y204">
        <v>1</v>
      </c>
    </row>
    <row r="205" spans="1:25" x14ac:dyDescent="0.25">
      <c r="A205">
        <v>143</v>
      </c>
      <c r="B205">
        <v>2</v>
      </c>
      <c r="C205" s="1">
        <v>1000000</v>
      </c>
      <c r="D205">
        <v>1</v>
      </c>
      <c r="E205">
        <v>0</v>
      </c>
      <c r="F205">
        <v>1.2749999999999999</v>
      </c>
      <c r="G205">
        <v>5.2750000000000004</v>
      </c>
      <c r="H205">
        <v>1.2749999999999999</v>
      </c>
      <c r="I205">
        <v>0</v>
      </c>
      <c r="J205">
        <v>-0.103299217896722</v>
      </c>
      <c r="K205">
        <v>0</v>
      </c>
      <c r="L205">
        <v>15.0005222474046</v>
      </c>
      <c r="M205">
        <v>64.305599957011594</v>
      </c>
      <c r="N205" s="1">
        <v>4.7054057408378101E-5</v>
      </c>
      <c r="O205">
        <v>4.1887902047863301</v>
      </c>
      <c r="P205">
        <v>0.40698519203491401</v>
      </c>
      <c r="Q205">
        <v>0.38308607623452101</v>
      </c>
      <c r="R205">
        <v>12.561324624336599</v>
      </c>
      <c r="S205" s="1">
        <v>9.8403263078268696E-5</v>
      </c>
      <c r="T205">
        <v>12.5461939482707</v>
      </c>
      <c r="U205">
        <v>-4.06643942636679E-2</v>
      </c>
      <c r="V205">
        <v>3.5304861270445402E-4</v>
      </c>
      <c r="W205">
        <v>2</v>
      </c>
      <c r="X205">
        <v>151.038859029131</v>
      </c>
      <c r="Y205">
        <v>1</v>
      </c>
    </row>
    <row r="206" spans="1:25" x14ac:dyDescent="0.25">
      <c r="A206">
        <v>143</v>
      </c>
      <c r="B206">
        <v>2</v>
      </c>
      <c r="C206" s="1">
        <v>1000000</v>
      </c>
      <c r="D206">
        <v>1</v>
      </c>
      <c r="E206">
        <v>0</v>
      </c>
      <c r="F206">
        <v>1.3</v>
      </c>
      <c r="G206">
        <v>5.3</v>
      </c>
      <c r="H206">
        <v>1.3</v>
      </c>
      <c r="I206">
        <v>0</v>
      </c>
      <c r="J206">
        <v>-0.10176216169630201</v>
      </c>
      <c r="K206">
        <v>0</v>
      </c>
      <c r="L206">
        <v>15.0022807521177</v>
      </c>
      <c r="M206">
        <v>64.306360812569693</v>
      </c>
      <c r="N206" s="1">
        <v>3.7671471139592799E-5</v>
      </c>
      <c r="O206">
        <v>4.1887902047863497</v>
      </c>
      <c r="P206">
        <v>0.414158312641695</v>
      </c>
      <c r="Q206">
        <v>0.48984390767502001</v>
      </c>
      <c r="R206">
        <v>12.5613246243157</v>
      </c>
      <c r="S206">
        <v>6.2597425572744102E-4</v>
      </c>
      <c r="T206">
        <v>12.546193948187399</v>
      </c>
      <c r="U206">
        <v>-3.67656646494397E-2</v>
      </c>
      <c r="V206">
        <v>1.0121281851446901E-3</v>
      </c>
      <c r="W206">
        <v>2</v>
      </c>
      <c r="X206">
        <v>150.61262375189901</v>
      </c>
      <c r="Y206">
        <v>1</v>
      </c>
    </row>
    <row r="207" spans="1:25" x14ac:dyDescent="0.25">
      <c r="A207">
        <v>160</v>
      </c>
      <c r="B207">
        <v>2</v>
      </c>
      <c r="C207" s="1">
        <v>1000000</v>
      </c>
      <c r="D207">
        <v>1</v>
      </c>
      <c r="E207">
        <v>0</v>
      </c>
      <c r="F207">
        <v>0.3</v>
      </c>
      <c r="G207">
        <v>4.3</v>
      </c>
      <c r="H207">
        <v>0.3</v>
      </c>
      <c r="I207">
        <v>0</v>
      </c>
      <c r="J207">
        <v>-5.1941206836685696</v>
      </c>
      <c r="K207">
        <v>-5.19283249774141</v>
      </c>
      <c r="L207">
        <v>-8.8092580836691496</v>
      </c>
      <c r="M207">
        <v>56.166120887548303</v>
      </c>
      <c r="N207" s="1">
        <v>6.9095397489298596E-8</v>
      </c>
      <c r="O207">
        <v>4.1887902047863701</v>
      </c>
      <c r="P207">
        <v>-1.65966807068077</v>
      </c>
      <c r="Q207">
        <v>14.4892230270816</v>
      </c>
      <c r="R207">
        <v>12.5613243056019</v>
      </c>
      <c r="S207">
        <v>16.673166884931899</v>
      </c>
      <c r="T207">
        <v>12.5461926748635</v>
      </c>
      <c r="U207">
        <v>6.9388607261110402E-2</v>
      </c>
      <c r="V207">
        <v>2</v>
      </c>
      <c r="W207">
        <v>2.3252700000000002</v>
      </c>
      <c r="X207">
        <v>67.120627477397505</v>
      </c>
      <c r="Y207">
        <v>1</v>
      </c>
    </row>
    <row r="208" spans="1:25" x14ac:dyDescent="0.25">
      <c r="A208">
        <v>160</v>
      </c>
      <c r="B208">
        <v>2</v>
      </c>
      <c r="C208" s="1">
        <v>1000000</v>
      </c>
      <c r="D208">
        <v>1</v>
      </c>
      <c r="E208">
        <v>0</v>
      </c>
      <c r="F208">
        <v>0.32500000000000001</v>
      </c>
      <c r="G208">
        <v>4.3250000000000002</v>
      </c>
      <c r="H208">
        <v>0.32500000000000001</v>
      </c>
      <c r="I208">
        <v>0</v>
      </c>
      <c r="J208">
        <v>-8.7752946802218794</v>
      </c>
      <c r="K208">
        <v>-8.8413586574285397</v>
      </c>
      <c r="L208">
        <v>-7.7015736873965803</v>
      </c>
      <c r="M208">
        <v>55.494838275859202</v>
      </c>
      <c r="N208">
        <v>0</v>
      </c>
      <c r="O208">
        <v>4.1887902047863701</v>
      </c>
      <c r="P208">
        <v>-3.4404245265850899</v>
      </c>
      <c r="Q208">
        <v>13.7485641877463</v>
      </c>
      <c r="R208">
        <v>12.5613223095005</v>
      </c>
      <c r="S208">
        <v>14.780039069282299</v>
      </c>
      <c r="T208">
        <v>12.5461847001283</v>
      </c>
      <c r="U208">
        <v>0.10627392485288099</v>
      </c>
      <c r="V208">
        <v>1.98223875965075</v>
      </c>
      <c r="W208">
        <v>2.2790900000000001</v>
      </c>
      <c r="X208">
        <v>102.94723902800099</v>
      </c>
      <c r="Y208">
        <v>1</v>
      </c>
    </row>
    <row r="209" spans="1:25" x14ac:dyDescent="0.25">
      <c r="A209">
        <v>160</v>
      </c>
      <c r="B209">
        <v>2</v>
      </c>
      <c r="C209" s="1">
        <v>1000000</v>
      </c>
      <c r="D209">
        <v>1</v>
      </c>
      <c r="E209">
        <v>0</v>
      </c>
      <c r="F209">
        <v>0.35</v>
      </c>
      <c r="G209">
        <v>4.3499999999999996</v>
      </c>
      <c r="H209">
        <v>0.35</v>
      </c>
      <c r="I209">
        <v>0</v>
      </c>
      <c r="J209">
        <v>-10.336542038685799</v>
      </c>
      <c r="K209">
        <v>-10.2367000436212</v>
      </c>
      <c r="L209">
        <v>-6.1851679323518898</v>
      </c>
      <c r="M209">
        <v>55.530552064187503</v>
      </c>
      <c r="N209">
        <v>1.9383569380959101E-2</v>
      </c>
      <c r="O209">
        <v>4.1887902045746204</v>
      </c>
      <c r="P209">
        <v>-4.5371809328879698</v>
      </c>
      <c r="Q209">
        <v>12.889389295735199</v>
      </c>
      <c r="R209">
        <v>12.5613094670425</v>
      </c>
      <c r="S209">
        <v>13.2043780973142</v>
      </c>
      <c r="T209">
        <v>12.5461333924636</v>
      </c>
      <c r="U209">
        <v>9.0665602405515203E-2</v>
      </c>
      <c r="V209">
        <v>1.9182401241698099</v>
      </c>
      <c r="W209">
        <v>2.0585399999999998</v>
      </c>
      <c r="X209">
        <v>133.87361605952199</v>
      </c>
      <c r="Y209">
        <v>1</v>
      </c>
    </row>
    <row r="210" spans="1:25" x14ac:dyDescent="0.25">
      <c r="A210">
        <v>160</v>
      </c>
      <c r="B210">
        <v>2</v>
      </c>
      <c r="C210" s="1">
        <v>1000000</v>
      </c>
      <c r="D210">
        <v>1</v>
      </c>
      <c r="E210">
        <v>0</v>
      </c>
      <c r="F210">
        <v>0.375</v>
      </c>
      <c r="G210">
        <v>4.375</v>
      </c>
      <c r="H210">
        <v>0.375</v>
      </c>
      <c r="I210">
        <v>0</v>
      </c>
      <c r="J210">
        <v>-9.8400246819581501</v>
      </c>
      <c r="K210">
        <v>-9.7898278768779008</v>
      </c>
      <c r="L210">
        <v>-4.6022982281367399</v>
      </c>
      <c r="M210">
        <v>56.206940751829897</v>
      </c>
      <c r="N210">
        <v>4.9605175401113196E-3</v>
      </c>
      <c r="O210">
        <v>4.1887902047891004</v>
      </c>
      <c r="P210">
        <v>-4.67865617977571</v>
      </c>
      <c r="Q210">
        <v>12.409883723662</v>
      </c>
      <c r="R210">
        <v>12.5612385764046</v>
      </c>
      <c r="S210">
        <v>12.2400258248384</v>
      </c>
      <c r="T210">
        <v>12.5458501348594</v>
      </c>
      <c r="U210">
        <v>0.110344919355904</v>
      </c>
      <c r="V210">
        <v>1.8449758214351299</v>
      </c>
      <c r="W210">
        <v>2</v>
      </c>
      <c r="X210">
        <v>158.755836648257</v>
      </c>
      <c r="Y210">
        <v>1</v>
      </c>
    </row>
    <row r="211" spans="1:25" x14ac:dyDescent="0.25">
      <c r="A211">
        <v>160</v>
      </c>
      <c r="B211">
        <v>2</v>
      </c>
      <c r="C211" s="1">
        <v>1000000</v>
      </c>
      <c r="D211">
        <v>1</v>
      </c>
      <c r="E211">
        <v>0</v>
      </c>
      <c r="F211">
        <v>0.4</v>
      </c>
      <c r="G211">
        <v>4.4000000000000004</v>
      </c>
      <c r="H211">
        <v>0.4</v>
      </c>
      <c r="I211">
        <v>0</v>
      </c>
      <c r="J211">
        <v>-8.8170032702979508</v>
      </c>
      <c r="K211">
        <v>-8.78225771145277</v>
      </c>
      <c r="L211">
        <v>-3.1359403614887098</v>
      </c>
      <c r="M211">
        <v>57.004652898789502</v>
      </c>
      <c r="N211">
        <v>2.0453300864366499E-2</v>
      </c>
      <c r="O211">
        <v>4.1887902047864198</v>
      </c>
      <c r="P211">
        <v>-4.4290807716559799</v>
      </c>
      <c r="Q211">
        <v>12.045785942113699</v>
      </c>
      <c r="R211">
        <v>12.5612330925347</v>
      </c>
      <c r="S211">
        <v>11.528498533789801</v>
      </c>
      <c r="T211">
        <v>12.545828217292399</v>
      </c>
      <c r="U211">
        <v>0.131638419191101</v>
      </c>
      <c r="V211">
        <v>1.77987735617681</v>
      </c>
      <c r="W211">
        <v>2</v>
      </c>
      <c r="X211">
        <v>173.19264949534301</v>
      </c>
      <c r="Y211">
        <v>1</v>
      </c>
    </row>
    <row r="212" spans="1:25" x14ac:dyDescent="0.25">
      <c r="A212">
        <v>160</v>
      </c>
      <c r="B212">
        <v>2</v>
      </c>
      <c r="C212" s="1">
        <v>1000000</v>
      </c>
      <c r="D212">
        <v>1</v>
      </c>
      <c r="E212">
        <v>0</v>
      </c>
      <c r="F212">
        <v>0.42499999999999999</v>
      </c>
      <c r="G212">
        <v>4.4249999999999998</v>
      </c>
      <c r="H212">
        <v>0.42499999999999999</v>
      </c>
      <c r="I212">
        <v>0</v>
      </c>
      <c r="J212">
        <v>-7.8320048301653804</v>
      </c>
      <c r="K212">
        <v>-7.7906613327897096</v>
      </c>
      <c r="L212">
        <v>-1.83493403683423</v>
      </c>
      <c r="M212">
        <v>57.798326584439202</v>
      </c>
      <c r="N212">
        <v>8.4616813581785805E-4</v>
      </c>
      <c r="O212">
        <v>4.1887902047864296</v>
      </c>
      <c r="P212">
        <v>-4.0886798735118397</v>
      </c>
      <c r="Q212">
        <v>11.757016226207099</v>
      </c>
      <c r="R212">
        <v>12.56122631783</v>
      </c>
      <c r="S212">
        <v>10.9886403031198</v>
      </c>
      <c r="T212">
        <v>12.5458011445282</v>
      </c>
      <c r="U212">
        <v>0.14157477748230901</v>
      </c>
      <c r="V212">
        <v>1.72139608029991</v>
      </c>
      <c r="W212">
        <v>2</v>
      </c>
      <c r="X212">
        <v>-88.021183627989899</v>
      </c>
      <c r="Y212">
        <v>1</v>
      </c>
    </row>
    <row r="213" spans="1:25" x14ac:dyDescent="0.25">
      <c r="A213">
        <v>160</v>
      </c>
      <c r="B213">
        <v>2</v>
      </c>
      <c r="C213" s="1">
        <v>1000000</v>
      </c>
      <c r="D213">
        <v>1</v>
      </c>
      <c r="E213">
        <v>0</v>
      </c>
      <c r="F213">
        <v>0.45</v>
      </c>
      <c r="G213">
        <v>4.45</v>
      </c>
      <c r="H213">
        <v>0.45</v>
      </c>
      <c r="I213">
        <v>0</v>
      </c>
      <c r="J213">
        <v>-6.9788510165238398</v>
      </c>
      <c r="K213">
        <v>-6.9544661928210303</v>
      </c>
      <c r="L213">
        <v>-0.68054948034497298</v>
      </c>
      <c r="M213">
        <v>58.549771154090102</v>
      </c>
      <c r="N213">
        <v>0.149522790325848</v>
      </c>
      <c r="O213">
        <v>4.1887901912366203</v>
      </c>
      <c r="P213">
        <v>-3.7646561566497598</v>
      </c>
      <c r="Q213">
        <v>11.5270794457218</v>
      </c>
      <c r="R213">
        <v>12.5612541203704</v>
      </c>
      <c r="S213">
        <v>10.559717749425401</v>
      </c>
      <c r="T213">
        <v>12.545912244850699</v>
      </c>
      <c r="U213">
        <v>0.15112783188101001</v>
      </c>
      <c r="V213">
        <v>1.67382965462554</v>
      </c>
      <c r="W213">
        <v>2</v>
      </c>
      <c r="X213">
        <v>-169.80990581225799</v>
      </c>
      <c r="Y213">
        <v>1</v>
      </c>
    </row>
    <row r="214" spans="1:25" x14ac:dyDescent="0.25">
      <c r="A214">
        <v>160</v>
      </c>
      <c r="B214">
        <v>2</v>
      </c>
      <c r="C214" s="1">
        <v>1000000</v>
      </c>
      <c r="D214">
        <v>1</v>
      </c>
      <c r="E214">
        <v>0</v>
      </c>
      <c r="F214">
        <v>0.47499999999999998</v>
      </c>
      <c r="G214">
        <v>4.4749999999999996</v>
      </c>
      <c r="H214">
        <v>0.47499999999999998</v>
      </c>
      <c r="I214">
        <v>0</v>
      </c>
      <c r="J214">
        <v>-6.2738237360615496</v>
      </c>
      <c r="K214">
        <v>-6.24953453013595</v>
      </c>
      <c r="L214">
        <v>0.35843473486094302</v>
      </c>
      <c r="M214">
        <v>59.229837827185101</v>
      </c>
      <c r="N214">
        <v>7.9783834442938902E-3</v>
      </c>
      <c r="O214">
        <v>4.1887902047863497</v>
      </c>
      <c r="P214">
        <v>-3.4778500581264198</v>
      </c>
      <c r="Q214">
        <v>11.317438374296099</v>
      </c>
      <c r="R214">
        <v>12.561292359959101</v>
      </c>
      <c r="S214">
        <v>10.177607156725401</v>
      </c>
      <c r="T214">
        <v>12.546065040921601</v>
      </c>
      <c r="U214">
        <v>0.17123526948346199</v>
      </c>
      <c r="V214">
        <v>1.63032148874274</v>
      </c>
      <c r="W214">
        <v>2</v>
      </c>
      <c r="X214">
        <v>-165.796814300996</v>
      </c>
      <c r="Y214">
        <v>1</v>
      </c>
    </row>
    <row r="215" spans="1:25" x14ac:dyDescent="0.25">
      <c r="A215">
        <v>160</v>
      </c>
      <c r="B215">
        <v>2</v>
      </c>
      <c r="C215" s="1">
        <v>1000000</v>
      </c>
      <c r="D215">
        <v>1</v>
      </c>
      <c r="E215">
        <v>0</v>
      </c>
      <c r="F215">
        <v>0.5</v>
      </c>
      <c r="G215">
        <v>4.5</v>
      </c>
      <c r="H215">
        <v>0.5</v>
      </c>
      <c r="I215">
        <v>0</v>
      </c>
      <c r="J215">
        <v>-5.6845391346006497</v>
      </c>
      <c r="K215">
        <v>-5.6589381189303696</v>
      </c>
      <c r="L215">
        <v>1.2963485191173201</v>
      </c>
      <c r="M215">
        <v>59.849146158177298</v>
      </c>
      <c r="N215">
        <v>1.5263364400561001E-2</v>
      </c>
      <c r="O215">
        <v>4.1887902047864198</v>
      </c>
      <c r="P215">
        <v>-3.2271505232276501</v>
      </c>
      <c r="Q215">
        <v>11.1274207565198</v>
      </c>
      <c r="R215">
        <v>12.561304473612299</v>
      </c>
      <c r="S215">
        <v>9.83851065284572</v>
      </c>
      <c r="T215">
        <v>12.5461134410874</v>
      </c>
      <c r="U215">
        <v>0.19198874101848401</v>
      </c>
      <c r="V215">
        <v>1.5902645090792</v>
      </c>
      <c r="W215">
        <v>2</v>
      </c>
      <c r="X215">
        <v>-163.208190231662</v>
      </c>
      <c r="Y215">
        <v>1</v>
      </c>
    </row>
    <row r="216" spans="1:25" x14ac:dyDescent="0.25">
      <c r="A216">
        <v>160</v>
      </c>
      <c r="B216">
        <v>2</v>
      </c>
      <c r="C216" s="1">
        <v>1000000</v>
      </c>
      <c r="D216">
        <v>1</v>
      </c>
      <c r="E216">
        <v>0</v>
      </c>
      <c r="F216">
        <v>0.52500000000000002</v>
      </c>
      <c r="G216">
        <v>4.5250000000000004</v>
      </c>
      <c r="H216">
        <v>0.52500000000000002</v>
      </c>
      <c r="I216">
        <v>0</v>
      </c>
      <c r="J216">
        <v>-5.1894236988958404</v>
      </c>
      <c r="K216">
        <v>-5.1648426104621397</v>
      </c>
      <c r="L216">
        <v>2.14962264117288</v>
      </c>
      <c r="M216">
        <v>60.422752228046001</v>
      </c>
      <c r="N216">
        <v>2.4289511667665999E-2</v>
      </c>
      <c r="O216">
        <v>4.1887902047864296</v>
      </c>
      <c r="P216">
        <v>-3.0084980084396502</v>
      </c>
      <c r="Q216">
        <v>10.958216618247301</v>
      </c>
      <c r="R216">
        <v>12.561308264154199</v>
      </c>
      <c r="S216">
        <v>9.5408846225134294</v>
      </c>
      <c r="T216">
        <v>12.546128585859099</v>
      </c>
      <c r="U216">
        <v>0.21160396169064599</v>
      </c>
      <c r="V216">
        <v>1.55264522541869</v>
      </c>
      <c r="W216">
        <v>2</v>
      </c>
      <c r="X216">
        <v>-161.47241024576201</v>
      </c>
      <c r="Y216">
        <v>1</v>
      </c>
    </row>
    <row r="217" spans="1:25" x14ac:dyDescent="0.25">
      <c r="A217">
        <v>160</v>
      </c>
      <c r="B217">
        <v>2</v>
      </c>
      <c r="C217" s="1">
        <v>1000000</v>
      </c>
      <c r="D217">
        <v>1</v>
      </c>
      <c r="E217">
        <v>0</v>
      </c>
      <c r="F217">
        <v>0.55000000000000004</v>
      </c>
      <c r="G217">
        <v>4.55</v>
      </c>
      <c r="H217">
        <v>0.55000000000000004</v>
      </c>
      <c r="I217">
        <v>0</v>
      </c>
      <c r="J217">
        <v>-4.7766210679462802</v>
      </c>
      <c r="K217">
        <v>-4.7428589883533201</v>
      </c>
      <c r="L217">
        <v>2.9303848352114099</v>
      </c>
      <c r="M217">
        <v>60.9486578130727</v>
      </c>
      <c r="N217">
        <v>2.2592246608407699E-2</v>
      </c>
      <c r="O217">
        <v>4.1887902047864296</v>
      </c>
      <c r="P217">
        <v>-2.8162385770251501</v>
      </c>
      <c r="Q217">
        <v>10.800589622503001</v>
      </c>
      <c r="R217">
        <v>12.5612536921972</v>
      </c>
      <c r="S217">
        <v>9.2698974127868805</v>
      </c>
      <c r="T217">
        <v>12.545910545502201</v>
      </c>
      <c r="U217">
        <v>0.241383665076427</v>
      </c>
      <c r="V217">
        <v>1.5173141091449101</v>
      </c>
      <c r="W217">
        <v>2</v>
      </c>
      <c r="X217">
        <v>-160.24616469873999</v>
      </c>
      <c r="Y217">
        <v>1</v>
      </c>
    </row>
    <row r="218" spans="1:25" x14ac:dyDescent="0.25">
      <c r="A218">
        <v>160</v>
      </c>
      <c r="B218">
        <v>2</v>
      </c>
      <c r="C218" s="1">
        <v>1000000</v>
      </c>
      <c r="D218">
        <v>1</v>
      </c>
      <c r="E218">
        <v>0</v>
      </c>
      <c r="F218">
        <v>0.57499999999999996</v>
      </c>
      <c r="G218">
        <v>4.5750000000000002</v>
      </c>
      <c r="H218">
        <v>0.57499999999999996</v>
      </c>
      <c r="I218">
        <v>0</v>
      </c>
      <c r="J218">
        <v>-4.1794566795938204</v>
      </c>
      <c r="K218">
        <v>-4.3803576409067499</v>
      </c>
      <c r="L218">
        <v>3.6507078805883899</v>
      </c>
      <c r="M218">
        <v>61.436482767798303</v>
      </c>
      <c r="N218">
        <v>0.10969667638312799</v>
      </c>
      <c r="O218">
        <v>4.1887902047862697</v>
      </c>
      <c r="P218">
        <v>-2.6465159790415198</v>
      </c>
      <c r="Q218">
        <v>10.6558006209537</v>
      </c>
      <c r="R218">
        <v>12.561258522892899</v>
      </c>
      <c r="S218">
        <v>9.0224659525980204</v>
      </c>
      <c r="T218">
        <v>12.5459298454485</v>
      </c>
      <c r="U218">
        <v>0.25838298064374798</v>
      </c>
      <c r="V218">
        <v>1.48426109454068</v>
      </c>
      <c r="W218">
        <v>2</v>
      </c>
      <c r="X218">
        <v>-159.63994890890601</v>
      </c>
      <c r="Y218">
        <v>1</v>
      </c>
    </row>
    <row r="219" spans="1:25" x14ac:dyDescent="0.25">
      <c r="A219">
        <v>160</v>
      </c>
      <c r="B219">
        <v>2</v>
      </c>
      <c r="C219" s="1">
        <v>1000000</v>
      </c>
      <c r="D219">
        <v>1</v>
      </c>
      <c r="E219">
        <v>0</v>
      </c>
      <c r="F219">
        <v>0.6</v>
      </c>
      <c r="G219">
        <v>4.5999999999999996</v>
      </c>
      <c r="H219">
        <v>0.6</v>
      </c>
      <c r="I219">
        <v>0</v>
      </c>
      <c r="J219">
        <v>-4.2531778982651103</v>
      </c>
      <c r="K219">
        <v>-4.0647419569882004</v>
      </c>
      <c r="L219">
        <v>4.3179234165697604</v>
      </c>
      <c r="M219">
        <v>61.890130716638097</v>
      </c>
      <c r="N219">
        <v>8.0090650444484008E-3</v>
      </c>
      <c r="O219">
        <v>4.1887902047864296</v>
      </c>
      <c r="P219">
        <v>-2.4946792049894801</v>
      </c>
      <c r="Q219">
        <v>10.520935632376499</v>
      </c>
      <c r="R219">
        <v>12.5612633653733</v>
      </c>
      <c r="S219">
        <v>8.7951809534611591</v>
      </c>
      <c r="T219">
        <v>12.545949192477501</v>
      </c>
      <c r="U219">
        <v>0.27375364007534397</v>
      </c>
      <c r="V219">
        <v>1.4521460195064</v>
      </c>
      <c r="W219">
        <v>2</v>
      </c>
      <c r="X219">
        <v>-159.22702034830999</v>
      </c>
      <c r="Y219">
        <v>1</v>
      </c>
    </row>
    <row r="220" spans="1:25" x14ac:dyDescent="0.25">
      <c r="A220">
        <v>160</v>
      </c>
      <c r="B220">
        <v>2</v>
      </c>
      <c r="C220" s="1">
        <v>1000000</v>
      </c>
      <c r="D220">
        <v>1</v>
      </c>
      <c r="E220">
        <v>0</v>
      </c>
      <c r="F220">
        <v>0.625</v>
      </c>
      <c r="G220">
        <v>4.625</v>
      </c>
      <c r="H220">
        <v>0.625</v>
      </c>
      <c r="I220">
        <v>0</v>
      </c>
      <c r="J220">
        <v>-3.8920209286301199</v>
      </c>
      <c r="K220">
        <v>-3.78796759813864</v>
      </c>
      <c r="L220">
        <v>4.9386795432463702</v>
      </c>
      <c r="M220">
        <v>62.313800298066802</v>
      </c>
      <c r="N220">
        <v>7.5252348941432503E-3</v>
      </c>
      <c r="O220">
        <v>4.1887902047864296</v>
      </c>
      <c r="P220">
        <v>-2.3580845711126002</v>
      </c>
      <c r="Q220">
        <v>10.395044400284601</v>
      </c>
      <c r="R220">
        <v>12.5612670923867</v>
      </c>
      <c r="S220">
        <v>8.5854375322437697</v>
      </c>
      <c r="T220">
        <v>12.5459640827124</v>
      </c>
      <c r="U220">
        <v>0.28685567154915198</v>
      </c>
      <c r="V220">
        <v>1.4223983743349999</v>
      </c>
      <c r="W220">
        <v>2</v>
      </c>
      <c r="X220">
        <v>-159.13785618244</v>
      </c>
      <c r="Y220">
        <v>1</v>
      </c>
    </row>
    <row r="221" spans="1:25" x14ac:dyDescent="0.25">
      <c r="A221">
        <v>160</v>
      </c>
      <c r="B221">
        <v>2</v>
      </c>
      <c r="C221" s="1">
        <v>1000000</v>
      </c>
      <c r="D221">
        <v>1</v>
      </c>
      <c r="E221">
        <v>0</v>
      </c>
      <c r="F221">
        <v>0.65</v>
      </c>
      <c r="G221">
        <v>4.6500000000000004</v>
      </c>
      <c r="H221">
        <v>0.65</v>
      </c>
      <c r="I221">
        <v>0</v>
      </c>
      <c r="J221">
        <v>-3.5719536565270902</v>
      </c>
      <c r="K221">
        <v>-3.5412369503902301</v>
      </c>
      <c r="L221">
        <v>5.5185362865355403</v>
      </c>
      <c r="M221">
        <v>62.706250023448298</v>
      </c>
      <c r="N221">
        <v>3.2113941245341098E-3</v>
      </c>
      <c r="O221">
        <v>4.1887902047864198</v>
      </c>
      <c r="P221">
        <v>-2.2342500581386799</v>
      </c>
      <c r="Q221">
        <v>10.273762348233101</v>
      </c>
      <c r="R221">
        <v>12.561271188305399</v>
      </c>
      <c r="S221">
        <v>8.3859970090840399</v>
      </c>
      <c r="T221">
        <v>12.5459804474898</v>
      </c>
      <c r="U221">
        <v>0.30009534170819802</v>
      </c>
      <c r="V221">
        <v>1.3933588067329901</v>
      </c>
      <c r="W221">
        <v>2</v>
      </c>
      <c r="X221">
        <v>-159.21451704103899</v>
      </c>
      <c r="Y221">
        <v>1</v>
      </c>
    </row>
    <row r="222" spans="1:25" x14ac:dyDescent="0.25">
      <c r="A222">
        <v>160</v>
      </c>
      <c r="B222">
        <v>2</v>
      </c>
      <c r="C222" s="1">
        <v>1000000</v>
      </c>
      <c r="D222">
        <v>1</v>
      </c>
      <c r="E222">
        <v>0</v>
      </c>
      <c r="F222">
        <v>0.67500000000000004</v>
      </c>
      <c r="G222">
        <v>4.6749999999999998</v>
      </c>
      <c r="H222">
        <v>0.67500000000000004</v>
      </c>
      <c r="I222">
        <v>0</v>
      </c>
      <c r="J222">
        <v>-3.35474715048912</v>
      </c>
      <c r="K222">
        <v>-3.32162197241334</v>
      </c>
      <c r="L222">
        <v>6.0618912104953697</v>
      </c>
      <c r="M222">
        <v>63.074436232734399</v>
      </c>
      <c r="N222">
        <v>3.51077120568305E-4</v>
      </c>
      <c r="O222">
        <v>4.1887902047864198</v>
      </c>
      <c r="P222">
        <v>-2.1215341890029502</v>
      </c>
      <c r="Q222">
        <v>10.1592721784967</v>
      </c>
      <c r="R222">
        <v>12.561275238096901</v>
      </c>
      <c r="S222">
        <v>8.1995806321056204</v>
      </c>
      <c r="T222">
        <v>12.5459966277633</v>
      </c>
      <c r="U222">
        <v>0.308488759164187</v>
      </c>
      <c r="V222">
        <v>1.3651246479269601</v>
      </c>
      <c r="W222">
        <v>2</v>
      </c>
      <c r="X222">
        <v>-159.43709599146399</v>
      </c>
      <c r="Y222">
        <v>1</v>
      </c>
    </row>
    <row r="223" spans="1:25" x14ac:dyDescent="0.25">
      <c r="A223">
        <v>160</v>
      </c>
      <c r="B223">
        <v>2</v>
      </c>
      <c r="C223" s="1">
        <v>1000000</v>
      </c>
      <c r="D223">
        <v>1</v>
      </c>
      <c r="E223">
        <v>0</v>
      </c>
      <c r="F223">
        <v>0.7</v>
      </c>
      <c r="G223">
        <v>4.7</v>
      </c>
      <c r="H223">
        <v>0.7</v>
      </c>
      <c r="I223">
        <v>0</v>
      </c>
      <c r="J223">
        <v>-3.1483584616044</v>
      </c>
      <c r="K223">
        <v>-3.1256284317579799</v>
      </c>
      <c r="L223">
        <v>6.5725760584352901</v>
      </c>
      <c r="M223">
        <v>63.424009340463897</v>
      </c>
      <c r="N223">
        <v>3.6290668637958601E-4</v>
      </c>
      <c r="O223">
        <v>4.1887902047864101</v>
      </c>
      <c r="P223">
        <v>-2.0179873435076598</v>
      </c>
      <c r="Q223">
        <v>10.0527694620258</v>
      </c>
      <c r="R223">
        <v>12.5612789173537</v>
      </c>
      <c r="S223">
        <v>8.0281241792838198</v>
      </c>
      <c r="T223">
        <v>12.546011327659</v>
      </c>
      <c r="U223">
        <v>0.30897385246695502</v>
      </c>
      <c r="V223">
        <v>1.3376009723717299</v>
      </c>
      <c r="W223">
        <v>2</v>
      </c>
      <c r="X223">
        <v>-159.74779696422101</v>
      </c>
      <c r="Y223">
        <v>1</v>
      </c>
    </row>
    <row r="224" spans="1:25" x14ac:dyDescent="0.25">
      <c r="A224">
        <v>160</v>
      </c>
      <c r="B224">
        <v>2</v>
      </c>
      <c r="C224" s="1">
        <v>1000000</v>
      </c>
      <c r="D224">
        <v>1</v>
      </c>
      <c r="E224">
        <v>0</v>
      </c>
      <c r="F224">
        <v>0.72499999999999998</v>
      </c>
      <c r="G224">
        <v>4.7249999999999996</v>
      </c>
      <c r="H224">
        <v>0.72499999999999998</v>
      </c>
      <c r="I224">
        <v>0</v>
      </c>
      <c r="J224">
        <v>-2.97582158543706</v>
      </c>
      <c r="K224">
        <v>-2.9470384115083399</v>
      </c>
      <c r="L224">
        <v>7.05372340535411</v>
      </c>
      <c r="M224">
        <v>63.750142314797998</v>
      </c>
      <c r="N224">
        <v>1.2747248429508301E-3</v>
      </c>
      <c r="O224">
        <v>4.1887902047864198</v>
      </c>
      <c r="P224">
        <v>-1.9221332060273999</v>
      </c>
      <c r="Q224">
        <v>9.9489599059451699</v>
      </c>
      <c r="R224">
        <v>12.5612809260886</v>
      </c>
      <c r="S224">
        <v>7.8631614637923999</v>
      </c>
      <c r="T224">
        <v>12.5460193529441</v>
      </c>
      <c r="U224">
        <v>0.30484891620750398</v>
      </c>
      <c r="V224">
        <v>1.3114133351631001</v>
      </c>
      <c r="W224">
        <v>2</v>
      </c>
      <c r="X224">
        <v>-160.161467960946</v>
      </c>
      <c r="Y224">
        <v>1</v>
      </c>
    </row>
    <row r="225" spans="1:25" x14ac:dyDescent="0.25">
      <c r="A225">
        <v>160</v>
      </c>
      <c r="B225">
        <v>2</v>
      </c>
      <c r="C225" s="1">
        <v>1000000</v>
      </c>
      <c r="D225">
        <v>1</v>
      </c>
      <c r="E225">
        <v>0</v>
      </c>
      <c r="F225">
        <v>0.75</v>
      </c>
      <c r="G225">
        <v>4.75</v>
      </c>
      <c r="H225">
        <v>0.75</v>
      </c>
      <c r="I225">
        <v>0</v>
      </c>
      <c r="J225">
        <v>-2.8162788364424598</v>
      </c>
      <c r="K225">
        <v>-2.78774444504666</v>
      </c>
      <c r="L225">
        <v>7.5083102940506903</v>
      </c>
      <c r="M225">
        <v>64.065270910692504</v>
      </c>
      <c r="N225" s="1">
        <v>3.2857539667456997E-5</v>
      </c>
      <c r="O225">
        <v>4.1887902047864198</v>
      </c>
      <c r="P225">
        <v>-1.8335482288996401</v>
      </c>
      <c r="Q225">
        <v>9.8548202079824598</v>
      </c>
      <c r="R225">
        <v>12.561283237923901</v>
      </c>
      <c r="S225">
        <v>7.7147509372005203</v>
      </c>
      <c r="T225">
        <v>12.546028589643401</v>
      </c>
      <c r="U225">
        <v>0.29486379103036298</v>
      </c>
      <c r="V225">
        <v>1.2856647706981399</v>
      </c>
      <c r="W225">
        <v>2</v>
      </c>
      <c r="X225">
        <v>-160.60198567034999</v>
      </c>
      <c r="Y225">
        <v>1</v>
      </c>
    </row>
    <row r="226" spans="1:25" x14ac:dyDescent="0.25">
      <c r="A226">
        <v>160</v>
      </c>
      <c r="B226">
        <v>2</v>
      </c>
      <c r="C226" s="1">
        <v>1000000</v>
      </c>
      <c r="D226">
        <v>1</v>
      </c>
      <c r="E226">
        <v>0</v>
      </c>
      <c r="F226">
        <v>0.77500000000000002</v>
      </c>
      <c r="G226">
        <v>4.7750000000000004</v>
      </c>
      <c r="H226">
        <v>0.77500000000000002</v>
      </c>
      <c r="I226">
        <v>0</v>
      </c>
      <c r="J226">
        <v>-2.66746321624393</v>
      </c>
      <c r="K226">
        <v>-2.64132114887571</v>
      </c>
      <c r="L226">
        <v>7.93847288980795</v>
      </c>
      <c r="M226">
        <v>64.358376622441298</v>
      </c>
      <c r="N226">
        <v>4.4699688665873701E-4</v>
      </c>
      <c r="O226">
        <v>4.1887902047864198</v>
      </c>
      <c r="P226">
        <v>-1.7515623911687099</v>
      </c>
      <c r="Q226">
        <v>9.76117396968049</v>
      </c>
      <c r="R226">
        <v>12.5612844286703</v>
      </c>
      <c r="S226">
        <v>7.5688951651764</v>
      </c>
      <c r="T226">
        <v>12.5460333469762</v>
      </c>
      <c r="U226">
        <v>0.29346829442101802</v>
      </c>
      <c r="V226">
        <v>1.26090078413627</v>
      </c>
      <c r="W226">
        <v>2</v>
      </c>
      <c r="X226">
        <v>-161.10246652863901</v>
      </c>
      <c r="Y226">
        <v>1</v>
      </c>
    </row>
    <row r="227" spans="1:25" x14ac:dyDescent="0.25">
      <c r="A227">
        <v>160</v>
      </c>
      <c r="B227">
        <v>2</v>
      </c>
      <c r="C227" s="1">
        <v>1000000</v>
      </c>
      <c r="D227">
        <v>1</v>
      </c>
      <c r="E227">
        <v>0</v>
      </c>
      <c r="F227">
        <v>0.8</v>
      </c>
      <c r="G227">
        <v>4.8</v>
      </c>
      <c r="H227">
        <v>0.8</v>
      </c>
      <c r="I227">
        <v>0</v>
      </c>
      <c r="J227">
        <v>-2.5241040808785402</v>
      </c>
      <c r="K227">
        <v>-2.5065478498879101</v>
      </c>
      <c r="L227">
        <v>8.3462890289194398</v>
      </c>
      <c r="M227">
        <v>64.630494291241007</v>
      </c>
      <c r="N227">
        <v>1.3276774748545201E-4</v>
      </c>
      <c r="O227">
        <v>4.1887902047864101</v>
      </c>
      <c r="P227">
        <v>-1.6758723839730501</v>
      </c>
      <c r="Q227">
        <v>9.6678856601171805</v>
      </c>
      <c r="R227">
        <v>12.5612851753837</v>
      </c>
      <c r="S227">
        <v>7.4244871518981697</v>
      </c>
      <c r="T227">
        <v>12.546036330203499</v>
      </c>
      <c r="U227">
        <v>0.28705708618182701</v>
      </c>
      <c r="V227">
        <v>1.2368248354736899</v>
      </c>
      <c r="W227">
        <v>2</v>
      </c>
      <c r="X227">
        <v>-161.629083208352</v>
      </c>
      <c r="Y227">
        <v>1</v>
      </c>
    </row>
    <row r="228" spans="1:25" x14ac:dyDescent="0.25">
      <c r="A228">
        <v>160</v>
      </c>
      <c r="B228">
        <v>2</v>
      </c>
      <c r="C228" s="1">
        <v>1000000</v>
      </c>
      <c r="D228">
        <v>1</v>
      </c>
      <c r="E228">
        <v>0</v>
      </c>
      <c r="F228">
        <v>0.82499999999999996</v>
      </c>
      <c r="G228">
        <v>4.8250000000000002</v>
      </c>
      <c r="H228">
        <v>0.82499999999999996</v>
      </c>
      <c r="I228">
        <v>0</v>
      </c>
      <c r="J228">
        <v>-2.43090105207011</v>
      </c>
      <c r="K228">
        <v>-2.3775985326307101</v>
      </c>
      <c r="L228">
        <v>8.7335076268535499</v>
      </c>
      <c r="M228">
        <v>64.890631795127604</v>
      </c>
      <c r="N228">
        <v>2.4115563211360201E-3</v>
      </c>
      <c r="O228">
        <v>4.1887902047863896</v>
      </c>
      <c r="P228">
        <v>-1.5999562325658201</v>
      </c>
      <c r="Q228">
        <v>9.57955348971287</v>
      </c>
      <c r="R228">
        <v>12.561285497685001</v>
      </c>
      <c r="S228">
        <v>7.2892568381989902</v>
      </c>
      <c r="T228">
        <v>12.5460376178097</v>
      </c>
      <c r="U228">
        <v>0.23444778785215301</v>
      </c>
      <c r="V228">
        <v>1.21304809686187</v>
      </c>
      <c r="W228">
        <v>2</v>
      </c>
      <c r="X228">
        <v>-162.280619188846</v>
      </c>
      <c r="Y228">
        <v>1</v>
      </c>
    </row>
    <row r="229" spans="1:25" x14ac:dyDescent="0.25">
      <c r="A229">
        <v>160</v>
      </c>
      <c r="B229">
        <v>2</v>
      </c>
      <c r="C229" s="1">
        <v>1000000</v>
      </c>
      <c r="D229">
        <v>1</v>
      </c>
      <c r="E229">
        <v>0</v>
      </c>
      <c r="F229">
        <v>0.85</v>
      </c>
      <c r="G229">
        <v>4.8499999999999996</v>
      </c>
      <c r="H229">
        <v>0.85</v>
      </c>
      <c r="I229">
        <v>0</v>
      </c>
      <c r="J229">
        <v>-2.2921212543854002</v>
      </c>
      <c r="K229">
        <v>-2.2568329661138602</v>
      </c>
      <c r="L229">
        <v>9.1018353427962904</v>
      </c>
      <c r="M229">
        <v>65.125691541285704</v>
      </c>
      <c r="N229">
        <v>0.169555906353794</v>
      </c>
      <c r="O229">
        <v>4.1887902081385997</v>
      </c>
      <c r="P229">
        <v>-1.52999954544582</v>
      </c>
      <c r="Q229">
        <v>9.4862480667553903</v>
      </c>
      <c r="R229">
        <v>12.561280938631899</v>
      </c>
      <c r="S229">
        <v>7.1474608228358303</v>
      </c>
      <c r="T229">
        <v>12.5460194014909</v>
      </c>
      <c r="U229">
        <v>0.18218767097532099</v>
      </c>
      <c r="V229">
        <v>1.19018467561153</v>
      </c>
      <c r="W229">
        <v>2</v>
      </c>
      <c r="X229">
        <v>-152.84005409385401</v>
      </c>
      <c r="Y229">
        <v>1</v>
      </c>
    </row>
    <row r="230" spans="1:25" x14ac:dyDescent="0.25">
      <c r="A230">
        <v>160</v>
      </c>
      <c r="B230">
        <v>2</v>
      </c>
      <c r="C230" s="1">
        <v>1000000</v>
      </c>
      <c r="D230">
        <v>1</v>
      </c>
      <c r="E230">
        <v>0</v>
      </c>
      <c r="F230">
        <v>0.875</v>
      </c>
      <c r="G230">
        <v>4.875</v>
      </c>
      <c r="H230">
        <v>0.875</v>
      </c>
      <c r="I230">
        <v>0</v>
      </c>
      <c r="J230">
        <v>-2.1819917979960399</v>
      </c>
      <c r="K230">
        <v>-2.1545369920378099</v>
      </c>
      <c r="L230">
        <v>9.4531610245160902</v>
      </c>
      <c r="M230">
        <v>65.376654136166394</v>
      </c>
      <c r="N230">
        <v>8.91405024962134E-2</v>
      </c>
      <c r="O230">
        <v>4.1887902071266598</v>
      </c>
      <c r="P230">
        <v>-1.4653458962936801</v>
      </c>
      <c r="Q230">
        <v>9.4156959122780801</v>
      </c>
      <c r="R230">
        <v>12.561283298222399</v>
      </c>
      <c r="S230">
        <v>7.0406567710828902</v>
      </c>
      <c r="T230">
        <v>12.5460288296632</v>
      </c>
      <c r="U230">
        <v>0.18477191200607801</v>
      </c>
      <c r="V230">
        <v>1.16742058329302</v>
      </c>
      <c r="W230">
        <v>2</v>
      </c>
      <c r="X230">
        <v>-163.66471919218299</v>
      </c>
      <c r="Y230">
        <v>1</v>
      </c>
    </row>
    <row r="231" spans="1:25" x14ac:dyDescent="0.25">
      <c r="A231">
        <v>160</v>
      </c>
      <c r="B231">
        <v>2</v>
      </c>
      <c r="C231" s="1">
        <v>1000000</v>
      </c>
      <c r="D231">
        <v>1</v>
      </c>
      <c r="E231">
        <v>0</v>
      </c>
      <c r="F231">
        <v>0.9</v>
      </c>
      <c r="G231">
        <v>4.9000000000000004</v>
      </c>
      <c r="H231">
        <v>0.9</v>
      </c>
      <c r="I231">
        <v>0</v>
      </c>
      <c r="J231">
        <v>-2.0833734547264799</v>
      </c>
      <c r="K231">
        <v>-2.0567133829466</v>
      </c>
      <c r="L231">
        <v>9.7881996062826104</v>
      </c>
      <c r="M231">
        <v>65.605624093017099</v>
      </c>
      <c r="N231">
        <v>3.7093865687244099E-2</v>
      </c>
      <c r="O231">
        <v>4.18879020486846</v>
      </c>
      <c r="P231">
        <v>-1.4042849179455901</v>
      </c>
      <c r="Q231">
        <v>9.3390136705611297</v>
      </c>
      <c r="R231">
        <v>12.56128827136</v>
      </c>
      <c r="S231">
        <v>6.9277825250138703</v>
      </c>
      <c r="T231">
        <v>12.546048700465301</v>
      </c>
      <c r="U231">
        <v>0.20602867917439399</v>
      </c>
      <c r="V231">
        <v>1.14603533684954</v>
      </c>
      <c r="W231">
        <v>2</v>
      </c>
      <c r="X231">
        <v>-159.28413376525299</v>
      </c>
      <c r="Y231">
        <v>1</v>
      </c>
    </row>
    <row r="232" spans="1:25" x14ac:dyDescent="0.25">
      <c r="A232">
        <v>160</v>
      </c>
      <c r="B232">
        <v>2</v>
      </c>
      <c r="C232" s="1">
        <v>1000000</v>
      </c>
      <c r="D232">
        <v>1</v>
      </c>
      <c r="E232">
        <v>0</v>
      </c>
      <c r="F232">
        <v>0.92500000000000004</v>
      </c>
      <c r="G232">
        <v>4.9249999999999998</v>
      </c>
      <c r="H232">
        <v>0.92500000000000004</v>
      </c>
      <c r="I232">
        <v>0</v>
      </c>
      <c r="J232">
        <v>-1.9909278962191399</v>
      </c>
      <c r="K232">
        <v>-1.9615518634498501</v>
      </c>
      <c r="L232">
        <v>10.1082363208037</v>
      </c>
      <c r="M232">
        <v>65.8145180810005</v>
      </c>
      <c r="N232">
        <v>1.4681590322237099E-3</v>
      </c>
      <c r="O232">
        <v>4.1887902047864003</v>
      </c>
      <c r="P232">
        <v>-1.34491536447837</v>
      </c>
      <c r="Q232">
        <v>9.2585554010187803</v>
      </c>
      <c r="R232">
        <v>12.5612948408957</v>
      </c>
      <c r="S232">
        <v>6.8094852987316203</v>
      </c>
      <c r="T232">
        <v>12.546074949709499</v>
      </c>
      <c r="U232">
        <v>0.22507680001489999</v>
      </c>
      <c r="V232">
        <v>1.1236470976623101</v>
      </c>
      <c r="W232">
        <v>2</v>
      </c>
      <c r="X232">
        <v>-154.870646710285</v>
      </c>
      <c r="Y232">
        <v>1</v>
      </c>
    </row>
    <row r="233" spans="1:25" x14ac:dyDescent="0.25">
      <c r="A233">
        <v>160</v>
      </c>
      <c r="B233">
        <v>2</v>
      </c>
      <c r="C233" s="1">
        <v>1000000</v>
      </c>
      <c r="D233">
        <v>1</v>
      </c>
      <c r="E233">
        <v>0</v>
      </c>
      <c r="F233">
        <v>0.95</v>
      </c>
      <c r="G233">
        <v>4.95</v>
      </c>
      <c r="H233">
        <v>0.95</v>
      </c>
      <c r="I233">
        <v>0</v>
      </c>
      <c r="J233">
        <v>-1.90750533866786</v>
      </c>
      <c r="K233">
        <v>-1.87408298350242</v>
      </c>
      <c r="L233">
        <v>10.413962502752</v>
      </c>
      <c r="M233">
        <v>66.021301524711802</v>
      </c>
      <c r="N233">
        <v>1.7263889128095199E-2</v>
      </c>
      <c r="O233">
        <v>4.1887902049135297</v>
      </c>
      <c r="P233">
        <v>-1.2874850422445601</v>
      </c>
      <c r="Q233">
        <v>9.1914660236441499</v>
      </c>
      <c r="R233">
        <v>12.561300285923901</v>
      </c>
      <c r="S233">
        <v>6.7041898401785902</v>
      </c>
      <c r="T233">
        <v>12.546096705993699</v>
      </c>
      <c r="U233">
        <v>0.22348142638603199</v>
      </c>
      <c r="V233">
        <v>1.10116144713052</v>
      </c>
      <c r="W233">
        <v>2</v>
      </c>
      <c r="X233">
        <v>-155.548744985513</v>
      </c>
      <c r="Y233">
        <v>1</v>
      </c>
    </row>
    <row r="234" spans="1:25" x14ac:dyDescent="0.25">
      <c r="A234">
        <v>160</v>
      </c>
      <c r="B234">
        <v>2</v>
      </c>
      <c r="C234" s="1">
        <v>1000000</v>
      </c>
      <c r="D234">
        <v>1</v>
      </c>
      <c r="E234">
        <v>0</v>
      </c>
      <c r="F234">
        <v>0.97499999999999998</v>
      </c>
      <c r="G234">
        <v>4.9749999999999996</v>
      </c>
      <c r="H234">
        <v>0.97499999999999998</v>
      </c>
      <c r="I234">
        <v>0</v>
      </c>
      <c r="J234">
        <v>-1.8212237176091199</v>
      </c>
      <c r="K234">
        <v>-1.79527865272997</v>
      </c>
      <c r="L234">
        <v>10.7020719225533</v>
      </c>
      <c r="M234">
        <v>66.221956645166898</v>
      </c>
      <c r="N234">
        <v>3.2998657729533799E-4</v>
      </c>
      <c r="O234">
        <v>4.1887902047864296</v>
      </c>
      <c r="P234">
        <v>-1.23397441290204</v>
      </c>
      <c r="Q234">
        <v>9.1280936173269502</v>
      </c>
      <c r="R234">
        <v>12.561271373054399</v>
      </c>
      <c r="S234">
        <v>6.6112202007914904</v>
      </c>
      <c r="T234">
        <v>12.5459811848529</v>
      </c>
      <c r="U234">
        <v>9.9154927619206204E-2</v>
      </c>
      <c r="V234">
        <v>1.0847287615317101</v>
      </c>
      <c r="W234">
        <v>2</v>
      </c>
      <c r="X234">
        <v>-155.96366608407899</v>
      </c>
      <c r="Y234">
        <v>1</v>
      </c>
    </row>
    <row r="235" spans="1:25" x14ac:dyDescent="0.25">
      <c r="A235">
        <v>160</v>
      </c>
      <c r="B235">
        <v>2</v>
      </c>
      <c r="C235" s="1">
        <v>1000000</v>
      </c>
      <c r="D235">
        <v>1</v>
      </c>
      <c r="E235">
        <v>0</v>
      </c>
      <c r="F235">
        <v>1</v>
      </c>
      <c r="G235">
        <v>5</v>
      </c>
      <c r="H235">
        <v>1</v>
      </c>
      <c r="I235">
        <v>0</v>
      </c>
      <c r="J235">
        <v>-1.7442980573365401</v>
      </c>
      <c r="K235">
        <v>-1.7196194152350299</v>
      </c>
      <c r="L235">
        <v>10.9814934690713</v>
      </c>
      <c r="M235">
        <v>66.412082998483996</v>
      </c>
      <c r="N235">
        <v>5.8244859704162004E-3</v>
      </c>
      <c r="O235">
        <v>4.1887902047863701</v>
      </c>
      <c r="P235">
        <v>-1.18248753559553</v>
      </c>
      <c r="Q235">
        <v>9.0622581014935193</v>
      </c>
      <c r="R235">
        <v>12.561295159739</v>
      </c>
      <c r="S235">
        <v>6.5161047343623304</v>
      </c>
      <c r="T235">
        <v>12.546076225374399</v>
      </c>
      <c r="U235">
        <v>1.5187277666273201E-2</v>
      </c>
      <c r="V235">
        <v>1.0646739937138701</v>
      </c>
      <c r="W235">
        <v>2</v>
      </c>
      <c r="X235">
        <v>-161.685346616987</v>
      </c>
      <c r="Y235">
        <v>1</v>
      </c>
    </row>
    <row r="236" spans="1:25" x14ac:dyDescent="0.25">
      <c r="A236">
        <v>160</v>
      </c>
      <c r="B236">
        <v>2</v>
      </c>
      <c r="C236" s="1">
        <v>1000000</v>
      </c>
      <c r="D236">
        <v>1</v>
      </c>
      <c r="E236">
        <v>0</v>
      </c>
      <c r="F236">
        <v>1.0249999999999999</v>
      </c>
      <c r="G236">
        <v>5.0250000000000004</v>
      </c>
      <c r="H236">
        <v>1.0249999999999999</v>
      </c>
      <c r="I236">
        <v>0</v>
      </c>
      <c r="J236">
        <v>-0.97193785578219805</v>
      </c>
      <c r="K236">
        <v>-1.64947032795555</v>
      </c>
      <c r="L236">
        <v>11.2457739486796</v>
      </c>
      <c r="M236">
        <v>66.594288855770799</v>
      </c>
      <c r="N236">
        <v>1.04197665805389E-2</v>
      </c>
      <c r="O236">
        <v>4.1887902048042998</v>
      </c>
      <c r="P236">
        <v>-1.13332946493489</v>
      </c>
      <c r="Q236">
        <v>8.9998788054671799</v>
      </c>
      <c r="R236">
        <v>12.5613211312324</v>
      </c>
      <c r="S236">
        <v>6.4286583166688001</v>
      </c>
      <c r="T236">
        <v>12.546179992749501</v>
      </c>
      <c r="U236">
        <v>-0.16651272330181499</v>
      </c>
      <c r="V236">
        <v>1.04561332837915</v>
      </c>
      <c r="W236">
        <v>2</v>
      </c>
      <c r="X236">
        <v>-161.927065919092</v>
      </c>
      <c r="Y236">
        <v>1</v>
      </c>
    </row>
    <row r="237" spans="1:25" x14ac:dyDescent="0.25">
      <c r="A237">
        <v>160</v>
      </c>
      <c r="B237">
        <v>2</v>
      </c>
      <c r="C237" s="1">
        <v>1000000</v>
      </c>
      <c r="D237">
        <v>1</v>
      </c>
      <c r="E237">
        <v>0</v>
      </c>
      <c r="F237">
        <v>1.05</v>
      </c>
      <c r="G237">
        <v>5.05</v>
      </c>
      <c r="H237">
        <v>1.05</v>
      </c>
      <c r="I237">
        <v>0</v>
      </c>
      <c r="J237">
        <v>-1.9693036287910199</v>
      </c>
      <c r="K237">
        <v>-1.5800253064816401</v>
      </c>
      <c r="L237">
        <v>11.502746453854</v>
      </c>
      <c r="M237">
        <v>66.764262586193595</v>
      </c>
      <c r="N237">
        <v>6.1644506703008601E-3</v>
      </c>
      <c r="O237">
        <v>4.1887902047864296</v>
      </c>
      <c r="P237">
        <v>-1.0844958555194799</v>
      </c>
      <c r="Q237">
        <v>8.93555179627384</v>
      </c>
      <c r="R237">
        <v>12.561321029280601</v>
      </c>
      <c r="S237">
        <v>6.3360805388328698</v>
      </c>
      <c r="T237">
        <v>12.546179585433601</v>
      </c>
      <c r="U237">
        <v>-0.162701356414894</v>
      </c>
      <c r="V237">
        <v>1.02587070532919</v>
      </c>
      <c r="W237">
        <v>2</v>
      </c>
      <c r="X237">
        <v>-167.88460328186801</v>
      </c>
      <c r="Y237">
        <v>1</v>
      </c>
    </row>
    <row r="238" spans="1:25" x14ac:dyDescent="0.25">
      <c r="A238">
        <v>160</v>
      </c>
      <c r="B238">
        <v>2</v>
      </c>
      <c r="C238" s="1">
        <v>1000000</v>
      </c>
      <c r="D238">
        <v>1</v>
      </c>
      <c r="E238">
        <v>0</v>
      </c>
      <c r="F238">
        <v>1.075</v>
      </c>
      <c r="G238">
        <v>5.0750000000000002</v>
      </c>
      <c r="H238">
        <v>1.075</v>
      </c>
      <c r="I238">
        <v>0</v>
      </c>
      <c r="J238">
        <v>-1.53001923732298</v>
      </c>
      <c r="K238">
        <v>-1.5149121354752799</v>
      </c>
      <c r="L238">
        <v>11.7492913026356</v>
      </c>
      <c r="M238">
        <v>66.927104947711598</v>
      </c>
      <c r="N238">
        <v>2.1000041506341401E-3</v>
      </c>
      <c r="O238">
        <v>4.1887902047864101</v>
      </c>
      <c r="P238">
        <v>-1.03792614837553</v>
      </c>
      <c r="Q238">
        <v>8.8723836113725199</v>
      </c>
      <c r="R238">
        <v>12.561321197493699</v>
      </c>
      <c r="S238">
        <v>6.2470145559320196</v>
      </c>
      <c r="T238">
        <v>12.5461802574673</v>
      </c>
      <c r="U238">
        <v>-0.15833326426019301</v>
      </c>
      <c r="V238">
        <v>1.0061965859919</v>
      </c>
      <c r="W238">
        <v>2</v>
      </c>
      <c r="X238">
        <v>-168.65030361555401</v>
      </c>
      <c r="Y238">
        <v>1</v>
      </c>
    </row>
    <row r="239" spans="1:25" x14ac:dyDescent="0.25">
      <c r="A239">
        <v>160</v>
      </c>
      <c r="B239">
        <v>2</v>
      </c>
      <c r="C239" s="1">
        <v>1000000</v>
      </c>
      <c r="D239">
        <v>1</v>
      </c>
      <c r="E239">
        <v>0</v>
      </c>
      <c r="F239">
        <v>1.1000000000000001</v>
      </c>
      <c r="G239">
        <v>5.0999999999999996</v>
      </c>
      <c r="H239">
        <v>1.1000000000000001</v>
      </c>
      <c r="I239">
        <v>0</v>
      </c>
      <c r="J239">
        <v>-1.4781329106449199</v>
      </c>
      <c r="K239">
        <v>-1.4551556715568901</v>
      </c>
      <c r="L239">
        <v>11.985913378430199</v>
      </c>
      <c r="M239">
        <v>67.089380304003001</v>
      </c>
      <c r="N239">
        <v>5.9522790192820398E-2</v>
      </c>
      <c r="O239">
        <v>4.1887902047867396</v>
      </c>
      <c r="P239">
        <v>-0.99344285251998998</v>
      </c>
      <c r="Q239">
        <v>8.81687994108227</v>
      </c>
      <c r="R239">
        <v>12.5613214682388</v>
      </c>
      <c r="S239">
        <v>6.1679060637539802</v>
      </c>
      <c r="T239">
        <v>12.5461813391354</v>
      </c>
      <c r="U239">
        <v>-0.15455342628066299</v>
      </c>
      <c r="V239">
        <v>0.98671395444261301</v>
      </c>
      <c r="W239">
        <v>2</v>
      </c>
      <c r="X239">
        <v>-164.18230991935999</v>
      </c>
      <c r="Y239">
        <v>1</v>
      </c>
    </row>
    <row r="240" spans="1:25" x14ac:dyDescent="0.25">
      <c r="A240">
        <v>160</v>
      </c>
      <c r="B240">
        <v>2</v>
      </c>
      <c r="C240" s="1">
        <v>1000000</v>
      </c>
      <c r="D240">
        <v>1</v>
      </c>
      <c r="E240">
        <v>0</v>
      </c>
      <c r="F240">
        <v>1.125</v>
      </c>
      <c r="G240">
        <v>5.125</v>
      </c>
      <c r="H240">
        <v>1.125</v>
      </c>
      <c r="I240">
        <v>0</v>
      </c>
      <c r="J240">
        <v>-1.4662185707606299</v>
      </c>
      <c r="K240">
        <v>-1.39595643607421</v>
      </c>
      <c r="L240">
        <v>12.2131963335283</v>
      </c>
      <c r="M240">
        <v>67.234698724830096</v>
      </c>
      <c r="N240">
        <v>5.73616697954243E-4</v>
      </c>
      <c r="O240">
        <v>4.1887902049677903</v>
      </c>
      <c r="P240">
        <v>-0.95010343423473598</v>
      </c>
      <c r="Q240">
        <v>8.7531877827277604</v>
      </c>
      <c r="R240">
        <v>12.5613219007351</v>
      </c>
      <c r="S240">
        <v>6.0806920809128098</v>
      </c>
      <c r="T240">
        <v>12.54618306703</v>
      </c>
      <c r="U240">
        <v>-0.14885725337050801</v>
      </c>
      <c r="V240">
        <v>0.96775936146514796</v>
      </c>
      <c r="W240">
        <v>2</v>
      </c>
      <c r="X240">
        <v>-159.67312724566301</v>
      </c>
      <c r="Y240">
        <v>1</v>
      </c>
    </row>
    <row r="241" spans="1:25" x14ac:dyDescent="0.25">
      <c r="A241">
        <v>160</v>
      </c>
      <c r="B241">
        <v>2</v>
      </c>
      <c r="C241" s="1">
        <v>1000000</v>
      </c>
      <c r="D241">
        <v>1</v>
      </c>
      <c r="E241">
        <v>0</v>
      </c>
      <c r="F241">
        <v>1.1499999999999999</v>
      </c>
      <c r="G241">
        <v>5.15</v>
      </c>
      <c r="H241">
        <v>1.1499999999999999</v>
      </c>
      <c r="I241">
        <v>0</v>
      </c>
      <c r="J241">
        <v>-2.0991451477216798</v>
      </c>
      <c r="K241">
        <v>-1.34095581484339</v>
      </c>
      <c r="L241">
        <v>12.431549392060401</v>
      </c>
      <c r="M241">
        <v>67.380756526402706</v>
      </c>
      <c r="N241">
        <v>1.30097117550807E-2</v>
      </c>
      <c r="O241">
        <v>4.1887902047863701</v>
      </c>
      <c r="P241">
        <v>-0.90788447520593496</v>
      </c>
      <c r="Q241">
        <v>8.6975743146026794</v>
      </c>
      <c r="R241">
        <v>12.5613225238205</v>
      </c>
      <c r="S241">
        <v>6.0037685505070302</v>
      </c>
      <c r="T241">
        <v>12.546185556360401</v>
      </c>
      <c r="U241">
        <v>-0.14018051312024599</v>
      </c>
      <c r="V241">
        <v>0.94880068187573496</v>
      </c>
      <c r="W241">
        <v>2</v>
      </c>
      <c r="X241">
        <v>-155.121395826271</v>
      </c>
      <c r="Y241">
        <v>1</v>
      </c>
    </row>
    <row r="242" spans="1:25" x14ac:dyDescent="0.25">
      <c r="A242">
        <v>160</v>
      </c>
      <c r="B242">
        <v>2</v>
      </c>
      <c r="C242" s="1">
        <v>1000000</v>
      </c>
      <c r="D242">
        <v>1</v>
      </c>
      <c r="E242">
        <v>0</v>
      </c>
      <c r="F242">
        <v>1.175</v>
      </c>
      <c r="G242">
        <v>5.1749999999999998</v>
      </c>
      <c r="H242">
        <v>1.175</v>
      </c>
      <c r="I242">
        <v>0</v>
      </c>
      <c r="J242">
        <v>-1.3092531192274799</v>
      </c>
      <c r="K242">
        <v>-1.2968458965366501</v>
      </c>
      <c r="L242">
        <v>12.633331758703999</v>
      </c>
      <c r="M242">
        <v>67.564167496978797</v>
      </c>
      <c r="N242">
        <v>0.39274520569797</v>
      </c>
      <c r="O242">
        <v>4.1887903115946701</v>
      </c>
      <c r="P242">
        <v>-0.86571346743724098</v>
      </c>
      <c r="Q242">
        <v>8.6770474783348597</v>
      </c>
      <c r="R242">
        <v>12.561323409909299</v>
      </c>
      <c r="S242">
        <v>5.9841948352121204</v>
      </c>
      <c r="T242">
        <v>12.5461890964545</v>
      </c>
      <c r="U242">
        <v>-0.32565959366151898</v>
      </c>
      <c r="V242">
        <v>0.92999416206507901</v>
      </c>
      <c r="W242">
        <v>2</v>
      </c>
      <c r="X242">
        <v>-155.55423740666799</v>
      </c>
      <c r="Y242">
        <v>1</v>
      </c>
    </row>
    <row r="243" spans="1:25" x14ac:dyDescent="0.25">
      <c r="A243">
        <v>160</v>
      </c>
      <c r="B243">
        <v>2</v>
      </c>
      <c r="C243" s="1">
        <v>1000000</v>
      </c>
      <c r="D243">
        <v>1</v>
      </c>
      <c r="E243">
        <v>0</v>
      </c>
      <c r="F243">
        <v>1.2</v>
      </c>
      <c r="G243">
        <v>5.2</v>
      </c>
      <c r="H243">
        <v>1.2</v>
      </c>
      <c r="I243">
        <v>0</v>
      </c>
      <c r="J243">
        <v>-1.25928661126008</v>
      </c>
      <c r="K243">
        <v>-1.2460348178365701</v>
      </c>
      <c r="L243">
        <v>12.8350988166838</v>
      </c>
      <c r="M243">
        <v>67.697979271712299</v>
      </c>
      <c r="N243">
        <v>0.40051151866921297</v>
      </c>
      <c r="O243">
        <v>4.188790249078</v>
      </c>
      <c r="P243">
        <v>-0.82534357208815801</v>
      </c>
      <c r="Q243">
        <v>8.6243650669014702</v>
      </c>
      <c r="R243">
        <v>12.561322723739501</v>
      </c>
      <c r="S243">
        <v>5.9119150477484297</v>
      </c>
      <c r="T243">
        <v>12.546186355151701</v>
      </c>
      <c r="U243">
        <v>-0.381065950239656</v>
      </c>
      <c r="V243">
        <v>0.91160646471296802</v>
      </c>
      <c r="W243">
        <v>2</v>
      </c>
      <c r="X243">
        <v>-166.89978636731499</v>
      </c>
      <c r="Y243">
        <v>1</v>
      </c>
    </row>
    <row r="244" spans="1:25" x14ac:dyDescent="0.25">
      <c r="A244">
        <v>160</v>
      </c>
      <c r="B244">
        <v>2</v>
      </c>
      <c r="C244" s="1">
        <v>1000000</v>
      </c>
      <c r="D244">
        <v>1</v>
      </c>
      <c r="E244">
        <v>0</v>
      </c>
      <c r="F244">
        <v>1.2250000000000001</v>
      </c>
      <c r="G244">
        <v>5.2249999999999996</v>
      </c>
      <c r="H244">
        <v>1.2250000000000001</v>
      </c>
      <c r="I244">
        <v>0</v>
      </c>
      <c r="J244">
        <v>-1.21076042172092</v>
      </c>
      <c r="K244">
        <v>-1.1961303792279301</v>
      </c>
      <c r="L244">
        <v>13.0291829103081</v>
      </c>
      <c r="M244">
        <v>67.818025583643305</v>
      </c>
      <c r="N244">
        <v>0.32505686947778301</v>
      </c>
      <c r="O244">
        <v>4.1887902355985398</v>
      </c>
      <c r="P244">
        <v>-0.78613992082551198</v>
      </c>
      <c r="Q244">
        <v>8.5661899585488399</v>
      </c>
      <c r="R244">
        <v>12.5613246006473</v>
      </c>
      <c r="S244">
        <v>5.8331846346677398</v>
      </c>
      <c r="T244">
        <v>12.5461938536279</v>
      </c>
      <c r="U244">
        <v>-0.37545360984848902</v>
      </c>
      <c r="V244">
        <v>0.89457221443508395</v>
      </c>
      <c r="W244">
        <v>2</v>
      </c>
      <c r="X244">
        <v>-156.57837529423301</v>
      </c>
      <c r="Y244">
        <v>1</v>
      </c>
    </row>
    <row r="245" spans="1:25" x14ac:dyDescent="0.25">
      <c r="A245">
        <v>160</v>
      </c>
      <c r="B245">
        <v>2</v>
      </c>
      <c r="C245" s="1">
        <v>1000000</v>
      </c>
      <c r="D245">
        <v>1</v>
      </c>
      <c r="E245">
        <v>0</v>
      </c>
      <c r="F245">
        <v>1.25</v>
      </c>
      <c r="G245">
        <v>5.25</v>
      </c>
      <c r="H245">
        <v>1.25</v>
      </c>
      <c r="I245">
        <v>0</v>
      </c>
      <c r="J245">
        <v>-1.16496009476596</v>
      </c>
      <c r="K245">
        <v>-1.1513786680511799</v>
      </c>
      <c r="L245">
        <v>13.217943703385901</v>
      </c>
      <c r="M245">
        <v>67.943761786238099</v>
      </c>
      <c r="N245">
        <v>0.24744880579324699</v>
      </c>
      <c r="O245">
        <v>4.1887902063997702</v>
      </c>
      <c r="P245">
        <v>-0.74926606626203396</v>
      </c>
      <c r="Q245">
        <v>8.5194213969379309</v>
      </c>
      <c r="R245">
        <v>12.561324517648901</v>
      </c>
      <c r="S245">
        <v>5.7663252046379396</v>
      </c>
      <c r="T245">
        <v>12.5461935220327</v>
      </c>
      <c r="U245">
        <v>-0.46692075478868</v>
      </c>
      <c r="V245">
        <v>0.87864127765195998</v>
      </c>
      <c r="W245">
        <v>2</v>
      </c>
      <c r="X245">
        <v>-172.96036300078401</v>
      </c>
      <c r="Y245">
        <v>1</v>
      </c>
    </row>
    <row r="246" spans="1:25" x14ac:dyDescent="0.25">
      <c r="A246">
        <v>160</v>
      </c>
      <c r="B246">
        <v>2</v>
      </c>
      <c r="C246" s="1">
        <v>1000000</v>
      </c>
      <c r="D246">
        <v>1</v>
      </c>
      <c r="E246">
        <v>0</v>
      </c>
      <c r="F246">
        <v>1.2749999999999999</v>
      </c>
      <c r="G246">
        <v>5.2750000000000004</v>
      </c>
      <c r="H246">
        <v>1.2749999999999999</v>
      </c>
      <c r="I246">
        <v>0</v>
      </c>
      <c r="J246">
        <v>-9.9329404895745294E-2</v>
      </c>
      <c r="K246">
        <v>0</v>
      </c>
      <c r="L246">
        <v>14.991875468876099</v>
      </c>
      <c r="M246">
        <v>64.298530904195701</v>
      </c>
      <c r="N246" s="1">
        <v>1.10703351470045E-5</v>
      </c>
      <c r="O246">
        <v>4.1887902047863399</v>
      </c>
      <c r="P246">
        <v>0.41828159369935303</v>
      </c>
      <c r="Q246">
        <v>0.76966604508821501</v>
      </c>
      <c r="R246">
        <v>12.5613246248283</v>
      </c>
      <c r="S246">
        <v>1.0010235444390301E-3</v>
      </c>
      <c r="T246">
        <v>12.5461939502354</v>
      </c>
      <c r="U246">
        <v>-3.4016572622058698E-2</v>
      </c>
      <c r="V246">
        <v>6.7987048436894595E-4</v>
      </c>
      <c r="W246">
        <v>2</v>
      </c>
      <c r="X246">
        <v>150.49258419303499</v>
      </c>
      <c r="Y246">
        <v>1</v>
      </c>
    </row>
    <row r="247" spans="1:25" x14ac:dyDescent="0.25">
      <c r="A247">
        <v>160</v>
      </c>
      <c r="B247">
        <v>2</v>
      </c>
      <c r="C247" s="1">
        <v>1000000</v>
      </c>
      <c r="D247">
        <v>1</v>
      </c>
      <c r="E247">
        <v>0</v>
      </c>
      <c r="F247">
        <v>1.3</v>
      </c>
      <c r="G247">
        <v>5.3</v>
      </c>
      <c r="H247">
        <v>1.3</v>
      </c>
      <c r="I247">
        <v>0</v>
      </c>
      <c r="J247">
        <v>-0.14333839270658499</v>
      </c>
      <c r="K247">
        <v>0</v>
      </c>
      <c r="L247">
        <v>14.996743364981199</v>
      </c>
      <c r="M247">
        <v>64.301377548381893</v>
      </c>
      <c r="N247">
        <v>5.0141331395802703E-4</v>
      </c>
      <c r="O247">
        <v>4.1887902047863701</v>
      </c>
      <c r="P247">
        <v>0.401974536836263</v>
      </c>
      <c r="Q247">
        <v>0.226465656094546</v>
      </c>
      <c r="R247">
        <v>12.5613246246158</v>
      </c>
      <c r="S247">
        <v>1.18018876985786E-4</v>
      </c>
      <c r="T247">
        <v>12.5461939493863</v>
      </c>
      <c r="U247">
        <v>-4.5069737957417297E-2</v>
      </c>
      <c r="V247" s="1">
        <v>9.2311315773177196E-5</v>
      </c>
      <c r="W247">
        <v>2</v>
      </c>
      <c r="X247">
        <v>151.38765937206199</v>
      </c>
      <c r="Y247">
        <v>1</v>
      </c>
    </row>
    <row r="248" spans="1:25" x14ac:dyDescent="0.25">
      <c r="A248">
        <v>170</v>
      </c>
      <c r="B248">
        <v>2</v>
      </c>
      <c r="C248" s="1">
        <v>1000000</v>
      </c>
      <c r="D248">
        <v>1</v>
      </c>
      <c r="E248">
        <v>0</v>
      </c>
      <c r="F248">
        <v>0.3</v>
      </c>
      <c r="G248">
        <v>4.3</v>
      </c>
      <c r="H248">
        <v>0.3</v>
      </c>
      <c r="I248">
        <v>0</v>
      </c>
      <c r="J248">
        <v>-5.8964776656028199</v>
      </c>
      <c r="K248">
        <v>-5.8838284577953797</v>
      </c>
      <c r="L248">
        <v>-9.5724869281543992</v>
      </c>
      <c r="M248">
        <v>56.759781514437996</v>
      </c>
      <c r="N248" s="1">
        <v>1.5463404699279799E-7</v>
      </c>
      <c r="O248">
        <v>4.1887902047863399</v>
      </c>
      <c r="P248">
        <v>-1.99010227528078</v>
      </c>
      <c r="Q248">
        <v>14.7766668002378</v>
      </c>
      <c r="R248">
        <v>12.5613240291566</v>
      </c>
      <c r="S248">
        <v>17.2871734691517</v>
      </c>
      <c r="T248">
        <v>12.5461915704066</v>
      </c>
      <c r="U248">
        <v>7.7188681147654897E-2</v>
      </c>
      <c r="V248">
        <v>2</v>
      </c>
      <c r="W248">
        <v>2.3973300000000002</v>
      </c>
      <c r="X248">
        <v>68.406607360389799</v>
      </c>
      <c r="Y248">
        <v>1</v>
      </c>
    </row>
    <row r="249" spans="1:25" x14ac:dyDescent="0.25">
      <c r="A249">
        <v>170</v>
      </c>
      <c r="B249">
        <v>2</v>
      </c>
      <c r="C249" s="1">
        <v>1000000</v>
      </c>
      <c r="D249">
        <v>1</v>
      </c>
      <c r="E249">
        <v>0</v>
      </c>
      <c r="F249">
        <v>0.32500000000000001</v>
      </c>
      <c r="G249">
        <v>4.3250000000000002</v>
      </c>
      <c r="H249">
        <v>0.32500000000000001</v>
      </c>
      <c r="I249">
        <v>0</v>
      </c>
      <c r="J249">
        <v>-9.41883987584308</v>
      </c>
      <c r="K249">
        <v>-9.2751424252126</v>
      </c>
      <c r="L249">
        <v>-8.3768082815994198</v>
      </c>
      <c r="M249">
        <v>55.865349843033599</v>
      </c>
      <c r="N249">
        <v>4.8030485333166501E-4</v>
      </c>
      <c r="O249">
        <v>4.1887902047863603</v>
      </c>
      <c r="P249">
        <v>-3.6835572032224202</v>
      </c>
      <c r="Q249">
        <v>13.9186806736785</v>
      </c>
      <c r="R249">
        <v>12.561323938615599</v>
      </c>
      <c r="S249">
        <v>15.1648208489105</v>
      </c>
      <c r="T249">
        <v>12.546191208704499</v>
      </c>
      <c r="U249">
        <v>8.1819733424677701E-2</v>
      </c>
      <c r="V249">
        <v>1.98202103015428</v>
      </c>
      <c r="W249">
        <v>2.30667</v>
      </c>
      <c r="X249">
        <v>103.562104453629</v>
      </c>
      <c r="Y249">
        <v>1</v>
      </c>
    </row>
    <row r="250" spans="1:25" x14ac:dyDescent="0.25">
      <c r="A250">
        <v>170</v>
      </c>
      <c r="B250">
        <v>2</v>
      </c>
      <c r="C250" s="1">
        <v>1000000</v>
      </c>
      <c r="D250">
        <v>1</v>
      </c>
      <c r="E250">
        <v>0</v>
      </c>
      <c r="F250">
        <v>0.35</v>
      </c>
      <c r="G250">
        <v>4.3499999999999996</v>
      </c>
      <c r="H250">
        <v>0.35</v>
      </c>
      <c r="I250">
        <v>0</v>
      </c>
      <c r="J250">
        <v>-9.9776352005925997</v>
      </c>
      <c r="K250">
        <v>-10.512288859790001</v>
      </c>
      <c r="L250">
        <v>-6.7873039642873803</v>
      </c>
      <c r="M250">
        <v>55.793849636206403</v>
      </c>
      <c r="N250">
        <v>5.3304744754015202E-3</v>
      </c>
      <c r="O250">
        <v>4.1887902047872103</v>
      </c>
      <c r="P250">
        <v>-4.7325954389433198</v>
      </c>
      <c r="Q250">
        <v>13.034935644476199</v>
      </c>
      <c r="R250">
        <v>12.561307300385501</v>
      </c>
      <c r="S250">
        <v>13.4782630188718</v>
      </c>
      <c r="T250">
        <v>12.546124736110301</v>
      </c>
      <c r="U250">
        <v>8.9887806658004596E-2</v>
      </c>
      <c r="V250">
        <v>1.9150531543551901</v>
      </c>
      <c r="W250">
        <v>2.1002299999999998</v>
      </c>
      <c r="X250">
        <v>136.03926355684999</v>
      </c>
      <c r="Y250">
        <v>1</v>
      </c>
    </row>
    <row r="251" spans="1:25" x14ac:dyDescent="0.25">
      <c r="A251">
        <v>170</v>
      </c>
      <c r="B251">
        <v>2</v>
      </c>
      <c r="C251" s="1">
        <v>1000000</v>
      </c>
      <c r="D251">
        <v>1</v>
      </c>
      <c r="E251">
        <v>0</v>
      </c>
      <c r="F251">
        <v>0.375</v>
      </c>
      <c r="G251">
        <v>4.375</v>
      </c>
      <c r="H251">
        <v>0.375</v>
      </c>
      <c r="I251">
        <v>0</v>
      </c>
      <c r="J251">
        <v>-10.077220513554099</v>
      </c>
      <c r="K251">
        <v>-9.9759793465430402</v>
      </c>
      <c r="L251">
        <v>-5.1604531668948104</v>
      </c>
      <c r="M251">
        <v>56.489390460627803</v>
      </c>
      <c r="N251">
        <v>1.6862045587808999E-4</v>
      </c>
      <c r="O251">
        <v>4.1887902047864403</v>
      </c>
      <c r="P251">
        <v>-4.8272303175194802</v>
      </c>
      <c r="Q251">
        <v>12.564789295528399</v>
      </c>
      <c r="R251">
        <v>12.561237065317799</v>
      </c>
      <c r="S251">
        <v>12.5328749845267</v>
      </c>
      <c r="T251">
        <v>12.5458441032906</v>
      </c>
      <c r="U251">
        <v>0.117700214528038</v>
      </c>
      <c r="V251">
        <v>1.8434734870648</v>
      </c>
      <c r="W251">
        <v>2.0068800000000002</v>
      </c>
      <c r="X251">
        <v>160.10516096645799</v>
      </c>
      <c r="Y251">
        <v>1</v>
      </c>
    </row>
    <row r="252" spans="1:25" x14ac:dyDescent="0.25">
      <c r="A252">
        <v>170</v>
      </c>
      <c r="B252">
        <v>2</v>
      </c>
      <c r="C252" s="1">
        <v>1000000</v>
      </c>
      <c r="D252">
        <v>1</v>
      </c>
      <c r="E252">
        <v>0</v>
      </c>
      <c r="F252">
        <v>0.4</v>
      </c>
      <c r="G252">
        <v>4.4000000000000004</v>
      </c>
      <c r="H252">
        <v>0.4</v>
      </c>
      <c r="I252">
        <v>0</v>
      </c>
      <c r="J252">
        <v>-8.9715403582600501</v>
      </c>
      <c r="K252">
        <v>-8.9136816358583708</v>
      </c>
      <c r="L252">
        <v>-3.66405646998748</v>
      </c>
      <c r="M252">
        <v>57.311693372404903</v>
      </c>
      <c r="N252">
        <v>3.7463193522512803E-2</v>
      </c>
      <c r="O252">
        <v>4.18879020478645</v>
      </c>
      <c r="P252">
        <v>-4.5478172803888297</v>
      </c>
      <c r="Q252">
        <v>12.219762751385501</v>
      </c>
      <c r="R252">
        <v>12.561233021058699</v>
      </c>
      <c r="S252">
        <v>11.8484034497961</v>
      </c>
      <c r="T252">
        <v>12.5458279310539</v>
      </c>
      <c r="U252">
        <v>0.14427595549855701</v>
      </c>
      <c r="V252">
        <v>1.77834225501293</v>
      </c>
      <c r="W252">
        <v>2</v>
      </c>
      <c r="X252">
        <v>152.26096278446201</v>
      </c>
      <c r="Y252">
        <v>1</v>
      </c>
    </row>
    <row r="253" spans="1:25" x14ac:dyDescent="0.25">
      <c r="A253">
        <v>170</v>
      </c>
      <c r="B253">
        <v>2</v>
      </c>
      <c r="C253" s="1">
        <v>1000000</v>
      </c>
      <c r="D253">
        <v>1</v>
      </c>
      <c r="E253">
        <v>0</v>
      </c>
      <c r="F253">
        <v>0.42499999999999999</v>
      </c>
      <c r="G253">
        <v>4.4249999999999998</v>
      </c>
      <c r="H253">
        <v>0.42499999999999999</v>
      </c>
      <c r="I253">
        <v>0</v>
      </c>
      <c r="J253">
        <v>-7.9741977382757296</v>
      </c>
      <c r="K253">
        <v>-7.8965409906039197</v>
      </c>
      <c r="L253">
        <v>-2.3386971643580301</v>
      </c>
      <c r="M253">
        <v>58.142524470604101</v>
      </c>
      <c r="N253">
        <v>1.5676015104742101E-3</v>
      </c>
      <c r="O253">
        <v>4.1887902047864296</v>
      </c>
      <c r="P253">
        <v>-4.1899935943308204</v>
      </c>
      <c r="Q253">
        <v>11.9513000106648</v>
      </c>
      <c r="R253">
        <v>12.561269727703801</v>
      </c>
      <c r="S253">
        <v>11.346105379832601</v>
      </c>
      <c r="T253">
        <v>12.545974605065799</v>
      </c>
      <c r="U253">
        <v>0.14571390718577101</v>
      </c>
      <c r="V253">
        <v>1.7184643914289599</v>
      </c>
      <c r="W253">
        <v>2</v>
      </c>
      <c r="X253">
        <v>-86.873570698380902</v>
      </c>
      <c r="Y253">
        <v>1</v>
      </c>
    </row>
    <row r="254" spans="1:25" x14ac:dyDescent="0.25">
      <c r="A254">
        <v>170</v>
      </c>
      <c r="B254">
        <v>2</v>
      </c>
      <c r="C254" s="1">
        <v>1000000</v>
      </c>
      <c r="D254">
        <v>1</v>
      </c>
      <c r="E254">
        <v>0</v>
      </c>
      <c r="F254">
        <v>0.45</v>
      </c>
      <c r="G254">
        <v>4.45</v>
      </c>
      <c r="H254">
        <v>0.45</v>
      </c>
      <c r="I254">
        <v>0</v>
      </c>
      <c r="J254">
        <v>-7.0959999542503596</v>
      </c>
      <c r="K254">
        <v>-7.04422143227902</v>
      </c>
      <c r="L254">
        <v>-1.1647098629460499</v>
      </c>
      <c r="M254">
        <v>58.937718928905397</v>
      </c>
      <c r="N254">
        <v>0.15517646037427901</v>
      </c>
      <c r="O254">
        <v>4.1887902067887204</v>
      </c>
      <c r="P254">
        <v>-3.8516420532167199</v>
      </c>
      <c r="Q254">
        <v>11.748494817683399</v>
      </c>
      <c r="R254">
        <v>12.561243196221801</v>
      </c>
      <c r="S254">
        <v>10.961569975884601</v>
      </c>
      <c r="T254">
        <v>12.5458685974896</v>
      </c>
      <c r="U254">
        <v>0.16134894905483399</v>
      </c>
      <c r="V254">
        <v>1.6718821826251</v>
      </c>
      <c r="W254">
        <v>2</v>
      </c>
      <c r="X254">
        <v>-168.25200714067799</v>
      </c>
      <c r="Y254">
        <v>1</v>
      </c>
    </row>
    <row r="255" spans="1:25" x14ac:dyDescent="0.25">
      <c r="A255">
        <v>170</v>
      </c>
      <c r="B255">
        <v>2</v>
      </c>
      <c r="C255" s="1">
        <v>1000000</v>
      </c>
      <c r="D255">
        <v>1</v>
      </c>
      <c r="E255">
        <v>0</v>
      </c>
      <c r="F255">
        <v>0.47499999999999998</v>
      </c>
      <c r="G255">
        <v>4.4749999999999996</v>
      </c>
      <c r="H255">
        <v>0.47499999999999998</v>
      </c>
      <c r="I255">
        <v>0</v>
      </c>
      <c r="J255">
        <v>-6.3747975994931902</v>
      </c>
      <c r="K255">
        <v>-6.31744885010934</v>
      </c>
      <c r="L255">
        <v>-0.10898160954809399</v>
      </c>
      <c r="M255">
        <v>59.636704549049199</v>
      </c>
      <c r="N255">
        <v>0.238567558248691</v>
      </c>
      <c r="O255">
        <v>4.18879020478699</v>
      </c>
      <c r="P255">
        <v>-3.5557174894618102</v>
      </c>
      <c r="Q255">
        <v>11.553063585535099</v>
      </c>
      <c r="R255">
        <v>12.561290805358899</v>
      </c>
      <c r="S255">
        <v>10.5991360302001</v>
      </c>
      <c r="T255">
        <v>12.5460588303909</v>
      </c>
      <c r="U255">
        <v>0.18352856778131199</v>
      </c>
      <c r="V255">
        <v>1.6283181289947399</v>
      </c>
      <c r="W255">
        <v>2</v>
      </c>
      <c r="X255">
        <v>-164.37890870988201</v>
      </c>
      <c r="Y255">
        <v>1</v>
      </c>
    </row>
    <row r="256" spans="1:25" x14ac:dyDescent="0.25">
      <c r="A256">
        <v>170</v>
      </c>
      <c r="B256">
        <v>2</v>
      </c>
      <c r="C256" s="1">
        <v>1000000</v>
      </c>
      <c r="D256">
        <v>1</v>
      </c>
      <c r="E256">
        <v>0</v>
      </c>
      <c r="F256">
        <v>0.5</v>
      </c>
      <c r="G256">
        <v>4.5</v>
      </c>
      <c r="H256">
        <v>0.5</v>
      </c>
      <c r="I256">
        <v>0</v>
      </c>
      <c r="J256">
        <v>-5.7811608219501496</v>
      </c>
      <c r="K256">
        <v>-5.7178853316591303</v>
      </c>
      <c r="L256">
        <v>0.84357008001137801</v>
      </c>
      <c r="M256">
        <v>60.286723556714101</v>
      </c>
      <c r="N256">
        <v>1.0257618335057E-3</v>
      </c>
      <c r="O256">
        <v>4.1887902047864296</v>
      </c>
      <c r="P256">
        <v>-3.29866897627211</v>
      </c>
      <c r="Q256">
        <v>11.384996975856</v>
      </c>
      <c r="R256">
        <v>12.5613034713617</v>
      </c>
      <c r="S256">
        <v>10.2918932971518</v>
      </c>
      <c r="T256">
        <v>12.5461094370471</v>
      </c>
      <c r="U256">
        <v>0.204952921190582</v>
      </c>
      <c r="V256">
        <v>1.5882435196584099</v>
      </c>
      <c r="W256">
        <v>2</v>
      </c>
      <c r="X256">
        <v>-161.79890197595199</v>
      </c>
      <c r="Y256">
        <v>1</v>
      </c>
    </row>
    <row r="257" spans="1:25" x14ac:dyDescent="0.25">
      <c r="A257">
        <v>170</v>
      </c>
      <c r="B257">
        <v>2</v>
      </c>
      <c r="C257" s="1">
        <v>1000000</v>
      </c>
      <c r="D257">
        <v>1</v>
      </c>
      <c r="E257">
        <v>0</v>
      </c>
      <c r="F257">
        <v>0.52500000000000002</v>
      </c>
      <c r="G257">
        <v>4.5250000000000004</v>
      </c>
      <c r="H257">
        <v>0.52500000000000002</v>
      </c>
      <c r="I257">
        <v>0</v>
      </c>
      <c r="J257">
        <v>-5.2753988021605798</v>
      </c>
      <c r="K257">
        <v>-5.2165173433972702</v>
      </c>
      <c r="L257">
        <v>1.7098269973546201</v>
      </c>
      <c r="M257">
        <v>60.887696207843</v>
      </c>
      <c r="N257">
        <v>2.0679233435672599E-3</v>
      </c>
      <c r="O257">
        <v>4.1887902047864296</v>
      </c>
      <c r="P257">
        <v>-3.0756052825854101</v>
      </c>
      <c r="Q257">
        <v>11.2358085506329</v>
      </c>
      <c r="R257">
        <v>12.561307939398599</v>
      </c>
      <c r="S257">
        <v>10.0225043902048</v>
      </c>
      <c r="T257">
        <v>12.5461272885026</v>
      </c>
      <c r="U257">
        <v>0.22416337427971</v>
      </c>
      <c r="V257">
        <v>1.5519966762567099</v>
      </c>
      <c r="W257">
        <v>2</v>
      </c>
      <c r="X257">
        <v>-160.01759431393501</v>
      </c>
      <c r="Y257">
        <v>1</v>
      </c>
    </row>
    <row r="258" spans="1:25" x14ac:dyDescent="0.25">
      <c r="A258">
        <v>170</v>
      </c>
      <c r="B258">
        <v>2</v>
      </c>
      <c r="C258" s="1">
        <v>1000000</v>
      </c>
      <c r="D258">
        <v>1</v>
      </c>
      <c r="E258">
        <v>0</v>
      </c>
      <c r="F258">
        <v>0.55000000000000004</v>
      </c>
      <c r="G258">
        <v>4.55</v>
      </c>
      <c r="H258">
        <v>0.55000000000000004</v>
      </c>
      <c r="I258">
        <v>0</v>
      </c>
      <c r="J258">
        <v>-4.8474175421821704</v>
      </c>
      <c r="K258">
        <v>-4.7842290640455802</v>
      </c>
      <c r="L258">
        <v>2.5023371262851</v>
      </c>
      <c r="M258">
        <v>61.432237435539299</v>
      </c>
      <c r="N258">
        <v>5.9473987235123395E-4</v>
      </c>
      <c r="O258">
        <v>4.1887902047864296</v>
      </c>
      <c r="P258">
        <v>-2.8793828731108602</v>
      </c>
      <c r="Q258">
        <v>11.0919349388274</v>
      </c>
      <c r="R258">
        <v>12.561265707396601</v>
      </c>
      <c r="S258">
        <v>9.7708796336867092</v>
      </c>
      <c r="T258">
        <v>12.545958551092699</v>
      </c>
      <c r="U258">
        <v>0.26058179046148999</v>
      </c>
      <c r="V258">
        <v>1.5167263226324701</v>
      </c>
      <c r="W258">
        <v>2</v>
      </c>
      <c r="X258">
        <v>-158.89134637265701</v>
      </c>
      <c r="Y258">
        <v>1</v>
      </c>
    </row>
    <row r="259" spans="1:25" x14ac:dyDescent="0.25">
      <c r="A259">
        <v>170</v>
      </c>
      <c r="B259">
        <v>2</v>
      </c>
      <c r="C259" s="1">
        <v>1000000</v>
      </c>
      <c r="D259">
        <v>1</v>
      </c>
      <c r="E259">
        <v>0</v>
      </c>
      <c r="F259">
        <v>0.57499999999999996</v>
      </c>
      <c r="G259">
        <v>4.5750000000000002</v>
      </c>
      <c r="H259">
        <v>0.57499999999999996</v>
      </c>
      <c r="I259">
        <v>0</v>
      </c>
      <c r="J259">
        <v>-4.4695376233197397</v>
      </c>
      <c r="K259">
        <v>-4.4169987407498299</v>
      </c>
      <c r="L259">
        <v>3.23336631617773</v>
      </c>
      <c r="M259">
        <v>61.947027933034001</v>
      </c>
      <c r="N259">
        <v>0.103014442112592</v>
      </c>
      <c r="O259">
        <v>4.1887902047893197</v>
      </c>
      <c r="P259">
        <v>-2.7062640529769699</v>
      </c>
      <c r="Q259">
        <v>10.9676036600492</v>
      </c>
      <c r="R259">
        <v>12.561271371195</v>
      </c>
      <c r="S259">
        <v>9.5512916311087501</v>
      </c>
      <c r="T259">
        <v>12.5459811801807</v>
      </c>
      <c r="U259">
        <v>0.27864054426990997</v>
      </c>
      <c r="V259">
        <v>1.48366278845782</v>
      </c>
      <c r="W259">
        <v>2</v>
      </c>
      <c r="X259">
        <v>-158.20959173314199</v>
      </c>
      <c r="Y259">
        <v>1</v>
      </c>
    </row>
    <row r="260" spans="1:25" x14ac:dyDescent="0.25">
      <c r="A260">
        <v>170</v>
      </c>
      <c r="B260">
        <v>2</v>
      </c>
      <c r="C260" s="1">
        <v>1000000</v>
      </c>
      <c r="D260">
        <v>1</v>
      </c>
      <c r="E260">
        <v>0</v>
      </c>
      <c r="F260">
        <v>0.6</v>
      </c>
      <c r="G260">
        <v>4.5999999999999996</v>
      </c>
      <c r="H260">
        <v>0.6</v>
      </c>
      <c r="I260">
        <v>0</v>
      </c>
      <c r="J260">
        <v>-4.15440875189317</v>
      </c>
      <c r="K260">
        <v>-4.0955324994550004</v>
      </c>
      <c r="L260">
        <v>3.9104611696863301</v>
      </c>
      <c r="M260">
        <v>62.4215542319345</v>
      </c>
      <c r="N260">
        <v>3.9927528773602401E-4</v>
      </c>
      <c r="O260">
        <v>4.1887902047864296</v>
      </c>
      <c r="P260">
        <v>-2.55190740047887</v>
      </c>
      <c r="Q260">
        <v>10.849091669735699</v>
      </c>
      <c r="R260">
        <v>12.5612769252159</v>
      </c>
      <c r="S260">
        <v>9.3455838653807692</v>
      </c>
      <c r="T260">
        <v>12.546003370702699</v>
      </c>
      <c r="U260">
        <v>0.296446099332555</v>
      </c>
      <c r="V260">
        <v>1.45190105547223</v>
      </c>
      <c r="W260">
        <v>2</v>
      </c>
      <c r="X260">
        <v>-157.83723944709101</v>
      </c>
      <c r="Y260">
        <v>1</v>
      </c>
    </row>
    <row r="261" spans="1:25" x14ac:dyDescent="0.25">
      <c r="A261">
        <v>170</v>
      </c>
      <c r="B261">
        <v>2</v>
      </c>
      <c r="C261" s="1">
        <v>1000000</v>
      </c>
      <c r="D261">
        <v>1</v>
      </c>
      <c r="E261">
        <v>0</v>
      </c>
      <c r="F261">
        <v>0.625</v>
      </c>
      <c r="G261">
        <v>4.625</v>
      </c>
      <c r="H261">
        <v>0.625</v>
      </c>
      <c r="I261">
        <v>0</v>
      </c>
      <c r="J261">
        <v>-3.8766671291386001</v>
      </c>
      <c r="K261">
        <v>-3.8115064914742498</v>
      </c>
      <c r="L261">
        <v>4.5403422682085797</v>
      </c>
      <c r="M261">
        <v>62.861361470302803</v>
      </c>
      <c r="N261">
        <v>6.7440312387935205E-4</v>
      </c>
      <c r="O261">
        <v>4.1887902047864198</v>
      </c>
      <c r="P261">
        <v>-2.4128561862090399</v>
      </c>
      <c r="Q261">
        <v>10.7376254750135</v>
      </c>
      <c r="R261">
        <v>12.561281674543901</v>
      </c>
      <c r="S261">
        <v>9.1525688996581192</v>
      </c>
      <c r="T261">
        <v>12.5460223458744</v>
      </c>
      <c r="U261">
        <v>0.31175068312190302</v>
      </c>
      <c r="V261">
        <v>1.4216454323421499</v>
      </c>
      <c r="W261">
        <v>2</v>
      </c>
      <c r="X261">
        <v>-157.77563816138701</v>
      </c>
      <c r="Y261">
        <v>1</v>
      </c>
    </row>
    <row r="262" spans="1:25" x14ac:dyDescent="0.25">
      <c r="A262">
        <v>170</v>
      </c>
      <c r="B262">
        <v>2</v>
      </c>
      <c r="C262" s="1">
        <v>1000000</v>
      </c>
      <c r="D262">
        <v>1</v>
      </c>
      <c r="E262">
        <v>0</v>
      </c>
      <c r="F262">
        <v>0.65</v>
      </c>
      <c r="G262">
        <v>4.6500000000000004</v>
      </c>
      <c r="H262">
        <v>0.65</v>
      </c>
      <c r="I262">
        <v>0</v>
      </c>
      <c r="J262">
        <v>-3.62347271699343</v>
      </c>
      <c r="K262">
        <v>-3.56292947627631</v>
      </c>
      <c r="L262">
        <v>5.1285931139964704</v>
      </c>
      <c r="M262">
        <v>63.2794062117785</v>
      </c>
      <c r="N262" s="1">
        <v>7.4762511154467305E-5</v>
      </c>
      <c r="O262">
        <v>4.1887902047864198</v>
      </c>
      <c r="P262">
        <v>-2.2873250967019998</v>
      </c>
      <c r="Q262">
        <v>10.636327358814199</v>
      </c>
      <c r="R262">
        <v>12.5612850115541</v>
      </c>
      <c r="S262">
        <v>8.9797323968265506</v>
      </c>
      <c r="T262">
        <v>12.5460356781276</v>
      </c>
      <c r="U262">
        <v>0.32300924017134203</v>
      </c>
      <c r="V262">
        <v>1.39288227597623</v>
      </c>
      <c r="W262">
        <v>2</v>
      </c>
      <c r="X262">
        <v>-157.83212175175299</v>
      </c>
      <c r="Y262">
        <v>1</v>
      </c>
    </row>
    <row r="263" spans="1:25" x14ac:dyDescent="0.25">
      <c r="A263">
        <v>170</v>
      </c>
      <c r="B263">
        <v>2</v>
      </c>
      <c r="C263" s="1">
        <v>1000000</v>
      </c>
      <c r="D263">
        <v>1</v>
      </c>
      <c r="E263">
        <v>0</v>
      </c>
      <c r="F263">
        <v>0.67500000000000004</v>
      </c>
      <c r="G263">
        <v>4.6749999999999998</v>
      </c>
      <c r="H263">
        <v>0.67500000000000004</v>
      </c>
      <c r="I263">
        <v>0</v>
      </c>
      <c r="J263">
        <v>-3.4002279671195401</v>
      </c>
      <c r="K263">
        <v>-3.3299409929274799</v>
      </c>
      <c r="L263">
        <v>5.6798224268387898</v>
      </c>
      <c r="M263">
        <v>63.648367942336598</v>
      </c>
      <c r="N263">
        <v>3.0233205809892502E-4</v>
      </c>
      <c r="O263">
        <v>4.1887902047864198</v>
      </c>
      <c r="P263">
        <v>-2.1711712841464501</v>
      </c>
      <c r="Q263">
        <v>10.526705361876299</v>
      </c>
      <c r="R263">
        <v>12.5612884853066</v>
      </c>
      <c r="S263">
        <v>8.7946507293260705</v>
      </c>
      <c r="T263">
        <v>12.546049556640799</v>
      </c>
      <c r="U263">
        <v>0.32317605123995202</v>
      </c>
      <c r="V263">
        <v>1.36480471618128</v>
      </c>
      <c r="W263">
        <v>2</v>
      </c>
      <c r="X263">
        <v>-158.11571301008399</v>
      </c>
      <c r="Y263">
        <v>1</v>
      </c>
    </row>
    <row r="264" spans="1:25" x14ac:dyDescent="0.25">
      <c r="A264">
        <v>170</v>
      </c>
      <c r="B264">
        <v>2</v>
      </c>
      <c r="C264" s="1">
        <v>1000000</v>
      </c>
      <c r="D264">
        <v>1</v>
      </c>
      <c r="E264">
        <v>0</v>
      </c>
      <c r="F264">
        <v>0.7</v>
      </c>
      <c r="G264">
        <v>4.7</v>
      </c>
      <c r="H264">
        <v>0.7</v>
      </c>
      <c r="I264">
        <v>0</v>
      </c>
      <c r="J264">
        <v>-3.20033173058233</v>
      </c>
      <c r="K264">
        <v>-3.1349404049770002</v>
      </c>
      <c r="L264">
        <v>6.1975646112140197</v>
      </c>
      <c r="M264">
        <v>64.032023366486101</v>
      </c>
      <c r="N264">
        <v>9.0812465331155303E-3</v>
      </c>
      <c r="O264">
        <v>4.1887902047869101</v>
      </c>
      <c r="P264">
        <v>-2.0654310250429502</v>
      </c>
      <c r="Q264">
        <v>10.4453064007624</v>
      </c>
      <c r="R264">
        <v>12.561280637472001</v>
      </c>
      <c r="S264">
        <v>8.6585331840835202</v>
      </c>
      <c r="T264">
        <v>12.5460181996316</v>
      </c>
      <c r="U264">
        <v>0.29820341088695201</v>
      </c>
      <c r="V264">
        <v>1.3372209525011101</v>
      </c>
      <c r="W264">
        <v>2</v>
      </c>
      <c r="X264">
        <v>-158.382476907777</v>
      </c>
      <c r="Y264">
        <v>1</v>
      </c>
    </row>
    <row r="265" spans="1:25" x14ac:dyDescent="0.25">
      <c r="A265">
        <v>170</v>
      </c>
      <c r="B265">
        <v>2</v>
      </c>
      <c r="C265" s="1">
        <v>1000000</v>
      </c>
      <c r="D265">
        <v>1</v>
      </c>
      <c r="E265">
        <v>0</v>
      </c>
      <c r="F265">
        <v>0.72499999999999998</v>
      </c>
      <c r="G265">
        <v>4.7249999999999996</v>
      </c>
      <c r="H265">
        <v>0.72499999999999998</v>
      </c>
      <c r="I265">
        <v>0</v>
      </c>
      <c r="J265">
        <v>-3.0213045099270901</v>
      </c>
      <c r="K265">
        <v>-2.9633910687374501</v>
      </c>
      <c r="L265">
        <v>6.6863435522803298</v>
      </c>
      <c r="M265">
        <v>64.396231504660093</v>
      </c>
      <c r="N265" s="1">
        <v>2.48571328887419E-5</v>
      </c>
      <c r="O265">
        <v>4.1887902047864198</v>
      </c>
      <c r="P265">
        <v>-1.9712858421498101</v>
      </c>
      <c r="Q265">
        <v>10.368731184598699</v>
      </c>
      <c r="R265">
        <v>12.5612926610643</v>
      </c>
      <c r="S265">
        <v>8.5320066669033992</v>
      </c>
      <c r="T265">
        <v>12.5460662405712</v>
      </c>
      <c r="U265">
        <v>0.31782817210348202</v>
      </c>
      <c r="V265">
        <v>1.31125851843535</v>
      </c>
      <c r="W265">
        <v>2</v>
      </c>
      <c r="X265">
        <v>-158.68698491415299</v>
      </c>
      <c r="Y265">
        <v>1</v>
      </c>
    </row>
    <row r="266" spans="1:25" x14ac:dyDescent="0.25">
      <c r="A266">
        <v>170</v>
      </c>
      <c r="B266">
        <v>2</v>
      </c>
      <c r="C266" s="1">
        <v>1000000</v>
      </c>
      <c r="D266">
        <v>1</v>
      </c>
      <c r="E266">
        <v>0</v>
      </c>
      <c r="F266">
        <v>0.75</v>
      </c>
      <c r="G266">
        <v>4.75</v>
      </c>
      <c r="H266">
        <v>0.75</v>
      </c>
      <c r="I266">
        <v>0</v>
      </c>
      <c r="J266">
        <v>-2.8475341676527499</v>
      </c>
      <c r="K266">
        <v>-2.7943664893553102</v>
      </c>
      <c r="L266">
        <v>7.1473873801832104</v>
      </c>
      <c r="M266">
        <v>64.713169899031001</v>
      </c>
      <c r="N266">
        <v>8.4503945624785897E-3</v>
      </c>
      <c r="O266">
        <v>4.1887902047865699</v>
      </c>
      <c r="P266">
        <v>-1.8808706747445301</v>
      </c>
      <c r="Q266">
        <v>10.2802011335227</v>
      </c>
      <c r="R266">
        <v>12.5612933677053</v>
      </c>
      <c r="S266">
        <v>8.3856824861437307</v>
      </c>
      <c r="T266">
        <v>12.546069063680299</v>
      </c>
      <c r="U266">
        <v>0.302728442771664</v>
      </c>
      <c r="V266">
        <v>1.28594643591772</v>
      </c>
      <c r="W266">
        <v>2</v>
      </c>
      <c r="X266">
        <v>-159.146205528645</v>
      </c>
      <c r="Y266">
        <v>1</v>
      </c>
    </row>
    <row r="267" spans="1:25" x14ac:dyDescent="0.25">
      <c r="A267">
        <v>170</v>
      </c>
      <c r="B267">
        <v>2</v>
      </c>
      <c r="C267" s="1">
        <v>1000000</v>
      </c>
      <c r="D267">
        <v>1</v>
      </c>
      <c r="E267">
        <v>0</v>
      </c>
      <c r="F267">
        <v>0.77500000000000002</v>
      </c>
      <c r="G267">
        <v>4.7750000000000004</v>
      </c>
      <c r="H267">
        <v>0.77500000000000002</v>
      </c>
      <c r="I267">
        <v>0</v>
      </c>
      <c r="J267">
        <v>-2.7490703740376401</v>
      </c>
      <c r="K267">
        <v>-2.6457372008209301</v>
      </c>
      <c r="L267">
        <v>7.5838448127687403</v>
      </c>
      <c r="M267">
        <v>65.021701641922803</v>
      </c>
      <c r="N267">
        <v>1.06513466228472E-3</v>
      </c>
      <c r="O267">
        <v>4.1887902047868204</v>
      </c>
      <c r="P267">
        <v>-1.7990149708391101</v>
      </c>
      <c r="Q267">
        <v>10.200952278869099</v>
      </c>
      <c r="R267">
        <v>12.561294573209899</v>
      </c>
      <c r="S267">
        <v>8.2557847343738597</v>
      </c>
      <c r="T267">
        <v>12.5460738801532</v>
      </c>
      <c r="U267">
        <v>0.31827787885633102</v>
      </c>
      <c r="V267">
        <v>1.26123524751689</v>
      </c>
      <c r="W267">
        <v>2</v>
      </c>
      <c r="X267">
        <v>-159.63977745888499</v>
      </c>
      <c r="Y267">
        <v>1</v>
      </c>
    </row>
    <row r="268" spans="1:25" x14ac:dyDescent="0.25">
      <c r="A268">
        <v>170</v>
      </c>
      <c r="B268">
        <v>2</v>
      </c>
      <c r="C268" s="1">
        <v>1000000</v>
      </c>
      <c r="D268">
        <v>1</v>
      </c>
      <c r="E268">
        <v>0</v>
      </c>
      <c r="F268">
        <v>0.8</v>
      </c>
      <c r="G268">
        <v>4.8</v>
      </c>
      <c r="H268">
        <v>0.8</v>
      </c>
      <c r="I268">
        <v>0</v>
      </c>
      <c r="J268">
        <v>-2.5716445481753198</v>
      </c>
      <c r="K268">
        <v>-2.5133087920781199</v>
      </c>
      <c r="L268">
        <v>7.9965918388597199</v>
      </c>
      <c r="M268">
        <v>65.336370517261003</v>
      </c>
      <c r="N268">
        <v>1.18785278962674E-2</v>
      </c>
      <c r="O268">
        <v>4.1887902049259003</v>
      </c>
      <c r="P268">
        <v>-1.72023584534574</v>
      </c>
      <c r="Q268">
        <v>10.140817530225799</v>
      </c>
      <c r="R268">
        <v>12.5612816893827</v>
      </c>
      <c r="S268">
        <v>8.1562365001143409</v>
      </c>
      <c r="T268">
        <v>12.5460224014444</v>
      </c>
      <c r="U268">
        <v>0.18016955822618999</v>
      </c>
      <c r="V268">
        <v>1.2368209185300001</v>
      </c>
      <c r="W268">
        <v>2</v>
      </c>
      <c r="X268">
        <v>-160.084195493474</v>
      </c>
      <c r="Y268">
        <v>1</v>
      </c>
    </row>
    <row r="269" spans="1:25" x14ac:dyDescent="0.25">
      <c r="A269">
        <v>170</v>
      </c>
      <c r="B269">
        <v>2</v>
      </c>
      <c r="C269" s="1">
        <v>1000000</v>
      </c>
      <c r="D269">
        <v>1</v>
      </c>
      <c r="E269">
        <v>0</v>
      </c>
      <c r="F269">
        <v>0.82499999999999996</v>
      </c>
      <c r="G269">
        <v>4.8250000000000002</v>
      </c>
      <c r="H269">
        <v>0.82499999999999996</v>
      </c>
      <c r="I269">
        <v>0</v>
      </c>
      <c r="J269">
        <v>-2.4413511819061902</v>
      </c>
      <c r="K269">
        <v>-2.3801076801288499</v>
      </c>
      <c r="L269">
        <v>8.3906297891421797</v>
      </c>
      <c r="M269">
        <v>65.6022395370194</v>
      </c>
      <c r="N269">
        <v>5.4857160975959503E-3</v>
      </c>
      <c r="O269">
        <v>4.1887902047869101</v>
      </c>
      <c r="P269">
        <v>-1.64564579690369</v>
      </c>
      <c r="Q269">
        <v>10.058448113030201</v>
      </c>
      <c r="R269">
        <v>12.5612945536295</v>
      </c>
      <c r="S269">
        <v>8.0260445140485199</v>
      </c>
      <c r="T269">
        <v>12.546073801846299</v>
      </c>
      <c r="U269">
        <v>0.26185991978770101</v>
      </c>
      <c r="V269">
        <v>1.2134720395443399</v>
      </c>
      <c r="W269">
        <v>2</v>
      </c>
      <c r="X269">
        <v>-160.75318633545001</v>
      </c>
      <c r="Y269">
        <v>1</v>
      </c>
    </row>
    <row r="270" spans="1:25" x14ac:dyDescent="0.25">
      <c r="A270">
        <v>170</v>
      </c>
      <c r="B270">
        <v>2</v>
      </c>
      <c r="C270" s="1">
        <v>1000000</v>
      </c>
      <c r="D270">
        <v>1</v>
      </c>
      <c r="E270">
        <v>0</v>
      </c>
      <c r="F270">
        <v>0.85</v>
      </c>
      <c r="G270">
        <v>4.8499999999999996</v>
      </c>
      <c r="H270">
        <v>0.85</v>
      </c>
      <c r="I270">
        <v>0</v>
      </c>
      <c r="J270">
        <v>-2.3291837036824798</v>
      </c>
      <c r="K270">
        <v>-2.26229010353204</v>
      </c>
      <c r="L270">
        <v>8.7634959512554396</v>
      </c>
      <c r="M270">
        <v>65.880734526220806</v>
      </c>
      <c r="N270">
        <v>1.11076941168009E-2</v>
      </c>
      <c r="O270">
        <v>4.1887902047864101</v>
      </c>
      <c r="P270">
        <v>-1.5734726798141001</v>
      </c>
      <c r="Q270">
        <v>9.9992364846919308</v>
      </c>
      <c r="R270">
        <v>12.561286419171299</v>
      </c>
      <c r="S270">
        <v>7.9302544655157803</v>
      </c>
      <c r="T270">
        <v>12.546041300011099</v>
      </c>
      <c r="U270">
        <v>0.23161374609969601</v>
      </c>
      <c r="V270">
        <v>1.1902331376394699</v>
      </c>
      <c r="W270">
        <v>2</v>
      </c>
      <c r="X270">
        <v>-161.274067104229</v>
      </c>
      <c r="Y270">
        <v>1</v>
      </c>
    </row>
    <row r="271" spans="1:25" x14ac:dyDescent="0.25">
      <c r="A271">
        <v>170</v>
      </c>
      <c r="B271">
        <v>2</v>
      </c>
      <c r="C271" s="1">
        <v>1000000</v>
      </c>
      <c r="D271">
        <v>1</v>
      </c>
      <c r="E271">
        <v>0</v>
      </c>
      <c r="F271">
        <v>0.875</v>
      </c>
      <c r="G271">
        <v>4.875</v>
      </c>
      <c r="H271">
        <v>0.875</v>
      </c>
      <c r="I271">
        <v>0</v>
      </c>
      <c r="J271">
        <v>-2.5189874541452002</v>
      </c>
      <c r="K271">
        <v>-2.1554333234433201</v>
      </c>
      <c r="L271">
        <v>9.1205751695671005</v>
      </c>
      <c r="M271">
        <v>66.133302564773899</v>
      </c>
      <c r="N271">
        <v>4.94823900589174E-2</v>
      </c>
      <c r="O271">
        <v>4.18879020482738</v>
      </c>
      <c r="P271">
        <v>-1.51050317376481</v>
      </c>
      <c r="Q271">
        <v>9.9317671734793098</v>
      </c>
      <c r="R271">
        <v>12.561293176096401</v>
      </c>
      <c r="S271">
        <v>7.8241171041839799</v>
      </c>
      <c r="T271">
        <v>12.5460682979942</v>
      </c>
      <c r="U271">
        <v>0.21775368066640599</v>
      </c>
      <c r="V271">
        <v>1.1681601874736101</v>
      </c>
      <c r="W271">
        <v>2</v>
      </c>
      <c r="X271">
        <v>-152.11976225096001</v>
      </c>
      <c r="Y271">
        <v>1</v>
      </c>
    </row>
    <row r="272" spans="1:25" x14ac:dyDescent="0.25">
      <c r="A272">
        <v>170</v>
      </c>
      <c r="B272">
        <v>2</v>
      </c>
      <c r="C272" s="1">
        <v>1000000</v>
      </c>
      <c r="D272">
        <v>1</v>
      </c>
      <c r="E272">
        <v>0</v>
      </c>
      <c r="F272">
        <v>0.9</v>
      </c>
      <c r="G272">
        <v>4.9000000000000004</v>
      </c>
      <c r="H272">
        <v>0.9</v>
      </c>
      <c r="I272">
        <v>0</v>
      </c>
      <c r="J272">
        <v>-2.1173291348181098</v>
      </c>
      <c r="K272">
        <v>-2.0540824708549499</v>
      </c>
      <c r="L272">
        <v>9.4602064864530693</v>
      </c>
      <c r="M272">
        <v>66.378871249054896</v>
      </c>
      <c r="N272">
        <v>1.9434657517017099E-3</v>
      </c>
      <c r="O272">
        <v>4.1887902048003403</v>
      </c>
      <c r="P272">
        <v>-1.4481353510527299</v>
      </c>
      <c r="Q272">
        <v>9.8711302011313702</v>
      </c>
      <c r="R272">
        <v>12.5612937208333</v>
      </c>
      <c r="S272">
        <v>7.7286125371743299</v>
      </c>
      <c r="T272">
        <v>12.546070474682701</v>
      </c>
      <c r="U272">
        <v>0.152599834215108</v>
      </c>
      <c r="V272">
        <v>1.1464489625868699</v>
      </c>
      <c r="W272">
        <v>2</v>
      </c>
      <c r="X272">
        <v>-152.75483727400101</v>
      </c>
      <c r="Y272">
        <v>1</v>
      </c>
    </row>
    <row r="273" spans="1:25" x14ac:dyDescent="0.25">
      <c r="A273">
        <v>170</v>
      </c>
      <c r="B273">
        <v>2</v>
      </c>
      <c r="C273" s="1">
        <v>1000000</v>
      </c>
      <c r="D273">
        <v>1</v>
      </c>
      <c r="E273">
        <v>0</v>
      </c>
      <c r="F273">
        <v>0.92500000000000004</v>
      </c>
      <c r="G273">
        <v>4.9249999999999998</v>
      </c>
      <c r="H273">
        <v>0.92500000000000004</v>
      </c>
      <c r="I273">
        <v>0</v>
      </c>
      <c r="J273">
        <v>-2.0154477378021101</v>
      </c>
      <c r="K273">
        <v>-1.95559328335168</v>
      </c>
      <c r="L273">
        <v>9.7845144770922605</v>
      </c>
      <c r="M273">
        <v>66.618369129786601</v>
      </c>
      <c r="N273">
        <v>9.8734083922909603E-3</v>
      </c>
      <c r="O273">
        <v>4.1887902047869003</v>
      </c>
      <c r="P273">
        <v>-1.38474906237481</v>
      </c>
      <c r="Q273">
        <v>9.8152948551124499</v>
      </c>
      <c r="R273">
        <v>12.561295271592501</v>
      </c>
      <c r="S273">
        <v>7.6425015964777199</v>
      </c>
      <c r="T273">
        <v>12.546076670943499</v>
      </c>
      <c r="U273">
        <v>0.25703465375679901</v>
      </c>
      <c r="V273">
        <v>1.1244603264764299</v>
      </c>
      <c r="W273">
        <v>2</v>
      </c>
      <c r="X273">
        <v>-163.55373417975201</v>
      </c>
      <c r="Y273">
        <v>1</v>
      </c>
    </row>
    <row r="274" spans="1:25" x14ac:dyDescent="0.25">
      <c r="A274">
        <v>170</v>
      </c>
      <c r="B274">
        <v>2</v>
      </c>
      <c r="C274" s="1">
        <v>1000000</v>
      </c>
      <c r="D274">
        <v>1</v>
      </c>
      <c r="E274">
        <v>0</v>
      </c>
      <c r="F274">
        <v>0.95</v>
      </c>
      <c r="G274">
        <v>4.95</v>
      </c>
      <c r="H274">
        <v>0.95</v>
      </c>
      <c r="I274">
        <v>0</v>
      </c>
      <c r="J274">
        <v>-1.9325152819581199</v>
      </c>
      <c r="K274">
        <v>-1.86773973670747</v>
      </c>
      <c r="L274">
        <v>10.0950952300997</v>
      </c>
      <c r="M274">
        <v>66.826577810151804</v>
      </c>
      <c r="N274">
        <v>1.6601318316683501E-3</v>
      </c>
      <c r="O274">
        <v>4.18879020480842</v>
      </c>
      <c r="P274">
        <v>-1.3321761705916799</v>
      </c>
      <c r="Q274">
        <v>9.7477391104502207</v>
      </c>
      <c r="R274">
        <v>12.5612994385978</v>
      </c>
      <c r="S274">
        <v>7.5385508013951998</v>
      </c>
      <c r="T274">
        <v>12.546093320535499</v>
      </c>
      <c r="U274">
        <v>0.20120258423595899</v>
      </c>
      <c r="V274">
        <v>1.10354108371936</v>
      </c>
      <c r="W274">
        <v>2</v>
      </c>
      <c r="X274">
        <v>-159.036777824258</v>
      </c>
      <c r="Y274">
        <v>1</v>
      </c>
    </row>
    <row r="275" spans="1:25" x14ac:dyDescent="0.25">
      <c r="A275">
        <v>170</v>
      </c>
      <c r="B275">
        <v>2</v>
      </c>
      <c r="C275" s="1">
        <v>1000000</v>
      </c>
      <c r="D275">
        <v>1</v>
      </c>
      <c r="E275">
        <v>0</v>
      </c>
      <c r="F275">
        <v>0.97499999999999998</v>
      </c>
      <c r="G275">
        <v>4.9749999999999996</v>
      </c>
      <c r="H275">
        <v>0.97499999999999998</v>
      </c>
      <c r="I275">
        <v>0</v>
      </c>
      <c r="J275">
        <v>-1.87934050126996</v>
      </c>
      <c r="K275">
        <v>-1.79529114252779</v>
      </c>
      <c r="L275">
        <v>10.386079331242501</v>
      </c>
      <c r="M275">
        <v>67.0849095518643</v>
      </c>
      <c r="N275">
        <v>3.15923286995179E-3</v>
      </c>
      <c r="O275">
        <v>4.1887902047864101</v>
      </c>
      <c r="P275">
        <v>-1.27756833432304</v>
      </c>
      <c r="Q275">
        <v>9.7410216493445301</v>
      </c>
      <c r="R275">
        <v>12.561300341486501</v>
      </c>
      <c r="S275">
        <v>7.5053803489097497</v>
      </c>
      <c r="T275">
        <v>12.5460969293877</v>
      </c>
      <c r="U275">
        <v>-1.39863257243894E-2</v>
      </c>
      <c r="V275">
        <v>1.0832706987704901</v>
      </c>
      <c r="W275">
        <v>2</v>
      </c>
      <c r="X275">
        <v>-159.39923063023099</v>
      </c>
      <c r="Y275">
        <v>1</v>
      </c>
    </row>
    <row r="276" spans="1:25" x14ac:dyDescent="0.25">
      <c r="A276">
        <v>170</v>
      </c>
      <c r="B276">
        <v>2</v>
      </c>
      <c r="C276" s="1">
        <v>1000000</v>
      </c>
      <c r="D276">
        <v>1</v>
      </c>
      <c r="E276">
        <v>0</v>
      </c>
      <c r="F276">
        <v>1</v>
      </c>
      <c r="G276">
        <v>5</v>
      </c>
      <c r="H276">
        <v>1</v>
      </c>
      <c r="I276">
        <v>0</v>
      </c>
      <c r="J276">
        <v>-1.76136847244456</v>
      </c>
      <c r="K276">
        <v>-1.71631119626438</v>
      </c>
      <c r="L276">
        <v>10.6697424280009</v>
      </c>
      <c r="M276">
        <v>67.297314449023403</v>
      </c>
      <c r="N276">
        <v>1.4532970259876101E-2</v>
      </c>
      <c r="O276">
        <v>4.1887902047864101</v>
      </c>
      <c r="P276">
        <v>-1.22432713547756</v>
      </c>
      <c r="Q276">
        <v>9.69452251084377</v>
      </c>
      <c r="R276">
        <v>12.5612994671057</v>
      </c>
      <c r="S276">
        <v>7.4330339170400102</v>
      </c>
      <c r="T276">
        <v>12.546093435876699</v>
      </c>
      <c r="U276">
        <v>-2.64037481199055E-2</v>
      </c>
      <c r="V276">
        <v>1.0623603661725101</v>
      </c>
      <c r="W276">
        <v>2</v>
      </c>
      <c r="X276">
        <v>-155.064174597912</v>
      </c>
      <c r="Y276">
        <v>1</v>
      </c>
    </row>
    <row r="277" spans="1:25" x14ac:dyDescent="0.25">
      <c r="A277">
        <v>170</v>
      </c>
      <c r="B277">
        <v>2</v>
      </c>
      <c r="C277" s="1">
        <v>1000000</v>
      </c>
      <c r="D277">
        <v>1</v>
      </c>
      <c r="E277">
        <v>0</v>
      </c>
      <c r="F277">
        <v>1.0249999999999999</v>
      </c>
      <c r="G277">
        <v>5.0250000000000004</v>
      </c>
      <c r="H277">
        <v>1.0249999999999999</v>
      </c>
      <c r="I277">
        <v>0</v>
      </c>
      <c r="J277">
        <v>-1.70161260095455</v>
      </c>
      <c r="K277">
        <v>-1.6460945040728401</v>
      </c>
      <c r="L277">
        <v>10.9375514411146</v>
      </c>
      <c r="M277">
        <v>67.514581300065103</v>
      </c>
      <c r="N277">
        <v>3.6149986410551802E-3</v>
      </c>
      <c r="O277">
        <v>4.1887902047864296</v>
      </c>
      <c r="P277">
        <v>-1.1738874412579501</v>
      </c>
      <c r="Q277">
        <v>9.6602951054996904</v>
      </c>
      <c r="R277">
        <v>12.561321482727401</v>
      </c>
      <c r="S277">
        <v>7.3816482371929997</v>
      </c>
      <c r="T277">
        <v>12.546181397008001</v>
      </c>
      <c r="U277">
        <v>-0.16822798294209701</v>
      </c>
      <c r="V277">
        <v>1.04470163589293</v>
      </c>
      <c r="W277">
        <v>2</v>
      </c>
      <c r="X277">
        <v>-155.27224813570399</v>
      </c>
      <c r="Y277">
        <v>1</v>
      </c>
    </row>
    <row r="278" spans="1:25" x14ac:dyDescent="0.25">
      <c r="A278">
        <v>170</v>
      </c>
      <c r="B278">
        <v>2</v>
      </c>
      <c r="C278" s="1">
        <v>1000000</v>
      </c>
      <c r="D278">
        <v>1</v>
      </c>
      <c r="E278">
        <v>0</v>
      </c>
      <c r="F278">
        <v>1.05</v>
      </c>
      <c r="G278">
        <v>5.05</v>
      </c>
      <c r="H278">
        <v>1.05</v>
      </c>
      <c r="I278">
        <v>0</v>
      </c>
      <c r="J278">
        <v>-1.63237981656594</v>
      </c>
      <c r="K278">
        <v>-1.57662076919867</v>
      </c>
      <c r="L278">
        <v>11.197984921428599</v>
      </c>
      <c r="M278">
        <v>67.709575887904805</v>
      </c>
      <c r="N278">
        <v>1.2799097927769E-3</v>
      </c>
      <c r="O278">
        <v>4.1887902047864101</v>
      </c>
      <c r="P278">
        <v>-1.1259339016429299</v>
      </c>
      <c r="Q278">
        <v>9.6158190892813007</v>
      </c>
      <c r="R278">
        <v>12.561321414400201</v>
      </c>
      <c r="S278">
        <v>7.3151993899254402</v>
      </c>
      <c r="T278">
        <v>12.5461811240265</v>
      </c>
      <c r="U278">
        <v>-0.166483263081836</v>
      </c>
      <c r="V278">
        <v>1.0247955612292901</v>
      </c>
      <c r="W278">
        <v>2</v>
      </c>
      <c r="X278">
        <v>-161.07492356390799</v>
      </c>
      <c r="Y278">
        <v>1</v>
      </c>
    </row>
    <row r="279" spans="1:25" x14ac:dyDescent="0.25">
      <c r="A279">
        <v>170</v>
      </c>
      <c r="B279">
        <v>2</v>
      </c>
      <c r="C279" s="1">
        <v>1000000</v>
      </c>
      <c r="D279">
        <v>1</v>
      </c>
      <c r="E279">
        <v>0</v>
      </c>
      <c r="F279">
        <v>1.075</v>
      </c>
      <c r="G279">
        <v>5.0750000000000002</v>
      </c>
      <c r="H279">
        <v>1.075</v>
      </c>
      <c r="I279">
        <v>0</v>
      </c>
      <c r="J279">
        <v>-1.26461575813377</v>
      </c>
      <c r="K279">
        <v>-1.5127920791678</v>
      </c>
      <c r="L279">
        <v>11.448034542083899</v>
      </c>
      <c r="M279">
        <v>67.905379303538695</v>
      </c>
      <c r="N279">
        <v>8.9104153409632104E-3</v>
      </c>
      <c r="O279">
        <v>4.1887902047872601</v>
      </c>
      <c r="P279">
        <v>-1.08009955374693</v>
      </c>
      <c r="Q279">
        <v>9.57967795495267</v>
      </c>
      <c r="R279">
        <v>12.5613216463209</v>
      </c>
      <c r="S279">
        <v>7.2601264558697398</v>
      </c>
      <c r="T279">
        <v>12.546182050582001</v>
      </c>
      <c r="U279">
        <v>-0.15845806959841599</v>
      </c>
      <c r="V279">
        <v>1.00531598971912</v>
      </c>
      <c r="W279">
        <v>2</v>
      </c>
      <c r="X279">
        <v>-161.74569302143399</v>
      </c>
      <c r="Y279">
        <v>1</v>
      </c>
    </row>
    <row r="280" spans="1:25" x14ac:dyDescent="0.25">
      <c r="A280">
        <v>170</v>
      </c>
      <c r="B280">
        <v>2</v>
      </c>
      <c r="C280" s="1">
        <v>1000000</v>
      </c>
      <c r="D280">
        <v>1</v>
      </c>
      <c r="E280">
        <v>0</v>
      </c>
      <c r="F280">
        <v>1.1000000000000001</v>
      </c>
      <c r="G280">
        <v>5.0999999999999996</v>
      </c>
      <c r="H280">
        <v>1.1000000000000001</v>
      </c>
      <c r="I280">
        <v>0</v>
      </c>
      <c r="J280">
        <v>-1.5403635380893801</v>
      </c>
      <c r="K280">
        <v>-1.4493678802171699</v>
      </c>
      <c r="L280">
        <v>11.687709261556501</v>
      </c>
      <c r="M280">
        <v>68.083405980777997</v>
      </c>
      <c r="N280">
        <v>2.4746141509396401E-3</v>
      </c>
      <c r="O280">
        <v>4.1887902047864198</v>
      </c>
      <c r="P280">
        <v>-1.0351509382905</v>
      </c>
      <c r="Q280">
        <v>9.5371559522674207</v>
      </c>
      <c r="R280">
        <v>12.5613219075169</v>
      </c>
      <c r="S280">
        <v>7.19753703816966</v>
      </c>
      <c r="T280">
        <v>12.5461830941037</v>
      </c>
      <c r="U280">
        <v>-0.16446744028252999</v>
      </c>
      <c r="V280">
        <v>0.98595189208881495</v>
      </c>
      <c r="W280">
        <v>2</v>
      </c>
      <c r="X280">
        <v>-162.46530785405</v>
      </c>
      <c r="Y280">
        <v>1</v>
      </c>
    </row>
    <row r="281" spans="1:25" x14ac:dyDescent="0.25">
      <c r="A281">
        <v>170</v>
      </c>
      <c r="B281">
        <v>2</v>
      </c>
      <c r="C281" s="1">
        <v>1000000</v>
      </c>
      <c r="D281">
        <v>1</v>
      </c>
      <c r="E281">
        <v>0</v>
      </c>
      <c r="F281">
        <v>1.125</v>
      </c>
      <c r="G281">
        <v>5.125</v>
      </c>
      <c r="H281">
        <v>1.125</v>
      </c>
      <c r="I281">
        <v>0</v>
      </c>
      <c r="J281">
        <v>-1.4352232334980199</v>
      </c>
      <c r="K281">
        <v>-1.3915517827306401</v>
      </c>
      <c r="L281">
        <v>11.918145861503501</v>
      </c>
      <c r="M281">
        <v>68.269236616475894</v>
      </c>
      <c r="N281">
        <v>1.6112316775356399E-2</v>
      </c>
      <c r="O281">
        <v>4.1887902047880603</v>
      </c>
      <c r="P281">
        <v>-0.99166521758706905</v>
      </c>
      <c r="Q281">
        <v>9.5061734701738807</v>
      </c>
      <c r="R281">
        <v>12.5613223937864</v>
      </c>
      <c r="S281">
        <v>7.1522605512062203</v>
      </c>
      <c r="T281">
        <v>12.546185036828801</v>
      </c>
      <c r="U281">
        <v>-0.14481416412338799</v>
      </c>
      <c r="V281">
        <v>0.96657594973827299</v>
      </c>
      <c r="W281">
        <v>2</v>
      </c>
      <c r="X281">
        <v>-163.152100884128</v>
      </c>
      <c r="Y281">
        <v>1</v>
      </c>
    </row>
    <row r="282" spans="1:25" x14ac:dyDescent="0.25">
      <c r="A282">
        <v>170</v>
      </c>
      <c r="B282">
        <v>2</v>
      </c>
      <c r="C282" s="1">
        <v>1000000</v>
      </c>
      <c r="D282">
        <v>1</v>
      </c>
      <c r="E282">
        <v>0</v>
      </c>
      <c r="F282">
        <v>1.1499999999999999</v>
      </c>
      <c r="G282">
        <v>5.15</v>
      </c>
      <c r="H282">
        <v>1.1499999999999999</v>
      </c>
      <c r="I282">
        <v>0</v>
      </c>
      <c r="J282">
        <v>-1.5537304764528701</v>
      </c>
      <c r="K282">
        <v>-1.33592794521604</v>
      </c>
      <c r="L282">
        <v>12.139428960945001</v>
      </c>
      <c r="M282">
        <v>68.446187340227397</v>
      </c>
      <c r="N282">
        <v>0.13211389843791799</v>
      </c>
      <c r="O282">
        <v>4.1887902047869501</v>
      </c>
      <c r="P282">
        <v>-0.94949396495540805</v>
      </c>
      <c r="Q282">
        <v>9.4765320512465507</v>
      </c>
      <c r="R282">
        <v>12.561322983657501</v>
      </c>
      <c r="S282">
        <v>7.1072598295532599</v>
      </c>
      <c r="T282">
        <v>12.5461873934642</v>
      </c>
      <c r="U282">
        <v>-0.14487803637706601</v>
      </c>
      <c r="V282">
        <v>0.94709045710663098</v>
      </c>
      <c r="W282">
        <v>2</v>
      </c>
      <c r="X282">
        <v>-163.84969094670001</v>
      </c>
      <c r="Y282">
        <v>1</v>
      </c>
    </row>
    <row r="283" spans="1:25" x14ac:dyDescent="0.25">
      <c r="A283">
        <v>170</v>
      </c>
      <c r="B283">
        <v>2</v>
      </c>
      <c r="C283" s="1">
        <v>1000000</v>
      </c>
      <c r="D283">
        <v>1</v>
      </c>
      <c r="E283">
        <v>0</v>
      </c>
      <c r="F283">
        <v>1.175</v>
      </c>
      <c r="G283">
        <v>5.1749999999999998</v>
      </c>
      <c r="H283">
        <v>1.175</v>
      </c>
      <c r="I283">
        <v>0</v>
      </c>
      <c r="J283">
        <v>-1.3261189098868</v>
      </c>
      <c r="K283">
        <v>-1.2974636924096801</v>
      </c>
      <c r="L283">
        <v>12.340761574369701</v>
      </c>
      <c r="M283">
        <v>68.706692677112599</v>
      </c>
      <c r="N283">
        <v>0.41974896194559702</v>
      </c>
      <c r="O283">
        <v>4.18879035760453</v>
      </c>
      <c r="P283">
        <v>-0.90726286926424904</v>
      </c>
      <c r="Q283">
        <v>9.4996177773870194</v>
      </c>
      <c r="R283">
        <v>12.5613244616855</v>
      </c>
      <c r="S283">
        <v>7.1672871374590397</v>
      </c>
      <c r="T283">
        <v>12.546193298450399</v>
      </c>
      <c r="U283">
        <v>-0.332543421531793</v>
      </c>
      <c r="V283">
        <v>0.92831907489740595</v>
      </c>
      <c r="W283">
        <v>2</v>
      </c>
      <c r="X283">
        <v>-164.169874349813</v>
      </c>
      <c r="Y283">
        <v>1</v>
      </c>
    </row>
    <row r="284" spans="1:25" x14ac:dyDescent="0.25">
      <c r="A284">
        <v>170</v>
      </c>
      <c r="B284">
        <v>2</v>
      </c>
      <c r="C284" s="1">
        <v>1000000</v>
      </c>
      <c r="D284">
        <v>1</v>
      </c>
      <c r="E284">
        <v>0</v>
      </c>
      <c r="F284">
        <v>1.2</v>
      </c>
      <c r="G284">
        <v>5.2</v>
      </c>
      <c r="H284">
        <v>1.2</v>
      </c>
      <c r="I284">
        <v>0</v>
      </c>
      <c r="J284">
        <v>-1.2740950379304901</v>
      </c>
      <c r="K284">
        <v>-1.2429629386943299</v>
      </c>
      <c r="L284">
        <v>12.5453715640305</v>
      </c>
      <c r="M284">
        <v>68.859414973673594</v>
      </c>
      <c r="N284">
        <v>0.36423755539101199</v>
      </c>
      <c r="O284">
        <v>4.1887903696038098</v>
      </c>
      <c r="P284">
        <v>-0.86669279988299797</v>
      </c>
      <c r="Q284">
        <v>9.4649298825539407</v>
      </c>
      <c r="R284">
        <v>12.5613245891465</v>
      </c>
      <c r="S284">
        <v>7.1146300612565803</v>
      </c>
      <c r="T284">
        <v>12.54619380768</v>
      </c>
      <c r="U284">
        <v>-0.40391982253904002</v>
      </c>
      <c r="V284">
        <v>0.90856131876855795</v>
      </c>
      <c r="W284">
        <v>2</v>
      </c>
      <c r="X284">
        <v>-164.90004735763901</v>
      </c>
      <c r="Y284">
        <v>1</v>
      </c>
    </row>
    <row r="285" spans="1:25" x14ac:dyDescent="0.25">
      <c r="A285">
        <v>170</v>
      </c>
      <c r="B285">
        <v>2</v>
      </c>
      <c r="C285" s="1">
        <v>1000000</v>
      </c>
      <c r="D285">
        <v>1</v>
      </c>
      <c r="E285">
        <v>0</v>
      </c>
      <c r="F285">
        <v>1.2250000000000001</v>
      </c>
      <c r="G285">
        <v>5.2249999999999996</v>
      </c>
      <c r="H285">
        <v>1.2250000000000001</v>
      </c>
      <c r="I285">
        <v>0</v>
      </c>
      <c r="J285">
        <v>-1.2255957595592499</v>
      </c>
      <c r="K285">
        <v>-1.1881228468166201</v>
      </c>
      <c r="L285">
        <v>12.742232883679799</v>
      </c>
      <c r="M285">
        <v>68.991044967948397</v>
      </c>
      <c r="N285">
        <v>0.34933268233916698</v>
      </c>
      <c r="O285">
        <v>4.1887903347818201</v>
      </c>
      <c r="P285">
        <v>-0.82705707380943705</v>
      </c>
      <c r="Q285">
        <v>9.4197277861752493</v>
      </c>
      <c r="R285">
        <v>12.5613245703664</v>
      </c>
      <c r="S285">
        <v>7.0484584857052299</v>
      </c>
      <c r="T285">
        <v>12.5461937326499</v>
      </c>
      <c r="U285">
        <v>-0.43475584393261502</v>
      </c>
      <c r="V285">
        <v>0.89285235827021203</v>
      </c>
      <c r="W285">
        <v>2</v>
      </c>
      <c r="X285">
        <v>-160.05911273169301</v>
      </c>
      <c r="Y285">
        <v>1</v>
      </c>
    </row>
    <row r="286" spans="1:25" x14ac:dyDescent="0.25">
      <c r="A286">
        <v>170</v>
      </c>
      <c r="B286">
        <v>2</v>
      </c>
      <c r="C286" s="1">
        <v>1000000</v>
      </c>
      <c r="D286">
        <v>1</v>
      </c>
      <c r="E286">
        <v>0</v>
      </c>
      <c r="F286">
        <v>1.25</v>
      </c>
      <c r="G286">
        <v>5.25</v>
      </c>
      <c r="H286">
        <v>1.25</v>
      </c>
      <c r="I286">
        <v>0</v>
      </c>
      <c r="J286">
        <v>-1.1449417634680901</v>
      </c>
      <c r="K286">
        <v>-1.13442339581423</v>
      </c>
      <c r="L286">
        <v>12.934359087004999</v>
      </c>
      <c r="M286">
        <v>69.144121870166998</v>
      </c>
      <c r="N286">
        <v>2.3161531446137902E-3</v>
      </c>
      <c r="O286">
        <v>4.1887902047863896</v>
      </c>
      <c r="P286">
        <v>-0.78414846967373697</v>
      </c>
      <c r="Q286">
        <v>9.3960890595837103</v>
      </c>
      <c r="R286">
        <v>12.5613245907468</v>
      </c>
      <c r="S286">
        <v>7.0091046311608096</v>
      </c>
      <c r="T286">
        <v>12.546193814073201</v>
      </c>
      <c r="U286">
        <v>-0.56461040961137998</v>
      </c>
      <c r="V286">
        <v>0.87180119315607396</v>
      </c>
      <c r="W286">
        <v>2</v>
      </c>
      <c r="X286">
        <v>-160.95532459136001</v>
      </c>
      <c r="Y286">
        <v>1</v>
      </c>
    </row>
    <row r="287" spans="1:25" x14ac:dyDescent="0.25">
      <c r="A287">
        <v>170</v>
      </c>
      <c r="B287">
        <v>2</v>
      </c>
      <c r="C287" s="1">
        <v>1000000</v>
      </c>
      <c r="D287">
        <v>1</v>
      </c>
      <c r="E287">
        <v>0</v>
      </c>
      <c r="F287">
        <v>1.2749999999999999</v>
      </c>
      <c r="G287">
        <v>5.2750000000000004</v>
      </c>
      <c r="H287">
        <v>1.2749999999999999</v>
      </c>
      <c r="I287">
        <v>0</v>
      </c>
      <c r="J287">
        <v>-0.48206165533836698</v>
      </c>
      <c r="K287">
        <v>0</v>
      </c>
      <c r="L287">
        <v>14.949939947592799</v>
      </c>
      <c r="M287">
        <v>64.269160124264303</v>
      </c>
      <c r="N287">
        <v>7.3046518363876795E-4</v>
      </c>
      <c r="O287">
        <v>4.1887902047861703</v>
      </c>
      <c r="P287">
        <v>0.43351895587774297</v>
      </c>
      <c r="Q287">
        <v>1.9332985371848499</v>
      </c>
      <c r="R287">
        <v>12.5613246245683</v>
      </c>
      <c r="S287">
        <v>1.3503493519438199E-2</v>
      </c>
      <c r="T287">
        <v>12.546193949196599</v>
      </c>
      <c r="U287">
        <v>-2.3101692618899699E-2</v>
      </c>
      <c r="V287">
        <v>1.11732015744003E-4</v>
      </c>
      <c r="W287">
        <v>2</v>
      </c>
      <c r="X287">
        <v>150.132591682927</v>
      </c>
      <c r="Y287">
        <v>1</v>
      </c>
    </row>
    <row r="288" spans="1:25" x14ac:dyDescent="0.25">
      <c r="A288">
        <v>170</v>
      </c>
      <c r="B288">
        <v>2</v>
      </c>
      <c r="C288" s="1">
        <v>1000000</v>
      </c>
      <c r="D288">
        <v>1</v>
      </c>
      <c r="E288">
        <v>0</v>
      </c>
      <c r="F288">
        <v>1.3</v>
      </c>
      <c r="G288">
        <v>5.3</v>
      </c>
      <c r="H288">
        <v>1.3</v>
      </c>
      <c r="I288">
        <v>0</v>
      </c>
      <c r="J288">
        <v>-9.3557016628431106E-2</v>
      </c>
      <c r="K288">
        <v>0</v>
      </c>
      <c r="L288">
        <v>14.993315875419</v>
      </c>
      <c r="M288">
        <v>64.298530445984696</v>
      </c>
      <c r="N288" s="1">
        <v>6.8482930246107899E-5</v>
      </c>
      <c r="O288">
        <v>4.1887902047863399</v>
      </c>
      <c r="P288">
        <v>0.42727227329424999</v>
      </c>
      <c r="Q288">
        <v>0.58554968080735104</v>
      </c>
      <c r="R288">
        <v>12.5613246255935</v>
      </c>
      <c r="S288">
        <v>5.2697350099167699E-4</v>
      </c>
      <c r="T288">
        <v>12.5461939532924</v>
      </c>
      <c r="U288">
        <v>-6.2908088910406303E-3</v>
      </c>
      <c r="V288">
        <v>1.2469027522751499E-4</v>
      </c>
      <c r="W288">
        <v>2</v>
      </c>
      <c r="X288">
        <v>149.89129017249101</v>
      </c>
      <c r="Y288">
        <v>1</v>
      </c>
    </row>
    <row r="289" spans="1:25" x14ac:dyDescent="0.25">
      <c r="A289">
        <v>174</v>
      </c>
      <c r="B289">
        <v>2</v>
      </c>
      <c r="C289" s="1">
        <v>1000000</v>
      </c>
      <c r="D289">
        <v>1</v>
      </c>
      <c r="E289">
        <v>0</v>
      </c>
      <c r="F289">
        <v>0.3</v>
      </c>
      <c r="G289">
        <v>4.3</v>
      </c>
      <c r="H289">
        <v>0.3</v>
      </c>
      <c r="I289">
        <v>0</v>
      </c>
      <c r="J289">
        <v>-5.9917665885410898</v>
      </c>
      <c r="K289">
        <v>-5.9642010366168599</v>
      </c>
      <c r="L289">
        <v>-9.7427615457897492</v>
      </c>
      <c r="M289">
        <v>56.968960496800698</v>
      </c>
      <c r="N289">
        <v>2.8907538254588198E-4</v>
      </c>
      <c r="O289">
        <v>4.1887902047864403</v>
      </c>
      <c r="P289">
        <v>-2.0526457950927601</v>
      </c>
      <c r="Q289">
        <v>14.8587510405773</v>
      </c>
      <c r="R289">
        <v>12.561324092114701</v>
      </c>
      <c r="S289">
        <v>17.499861883557401</v>
      </c>
      <c r="T289">
        <v>12.546191821950501</v>
      </c>
      <c r="U289">
        <v>7.4904463057015203E-2</v>
      </c>
      <c r="V289">
        <v>2</v>
      </c>
      <c r="W289">
        <v>2.3782700000000001</v>
      </c>
      <c r="X289">
        <v>69.3074229073016</v>
      </c>
      <c r="Y289">
        <v>1</v>
      </c>
    </row>
    <row r="290" spans="1:25" x14ac:dyDescent="0.25">
      <c r="A290">
        <v>174</v>
      </c>
      <c r="B290">
        <v>2</v>
      </c>
      <c r="C290" s="1">
        <v>1000000</v>
      </c>
      <c r="D290">
        <v>1</v>
      </c>
      <c r="E290">
        <v>0</v>
      </c>
      <c r="F290">
        <v>0.32500000000000001</v>
      </c>
      <c r="G290">
        <v>4.3250000000000002</v>
      </c>
      <c r="H290">
        <v>0.32500000000000001</v>
      </c>
      <c r="I290">
        <v>0</v>
      </c>
      <c r="J290">
        <v>0.78709304835046401</v>
      </c>
      <c r="K290">
        <v>-9.2323583804377893</v>
      </c>
      <c r="L290">
        <v>-8.5263612404646203</v>
      </c>
      <c r="M290">
        <v>55.8833566276734</v>
      </c>
      <c r="N290">
        <v>0</v>
      </c>
      <c r="O290">
        <v>4.1887902047864101</v>
      </c>
      <c r="P290">
        <v>-3.7244908973887099</v>
      </c>
      <c r="Q290">
        <v>13.8861292341577</v>
      </c>
      <c r="R290">
        <v>12.561319792740701</v>
      </c>
      <c r="S290">
        <v>15.185195597243499</v>
      </c>
      <c r="T290">
        <v>12.546174645124299</v>
      </c>
      <c r="U290">
        <v>7.92895601164086E-2</v>
      </c>
      <c r="V290">
        <v>1.9819147477339001</v>
      </c>
      <c r="W290">
        <v>2.2817799999999999</v>
      </c>
      <c r="X290">
        <v>104.245659805671</v>
      </c>
      <c r="Y290">
        <v>1</v>
      </c>
    </row>
    <row r="291" spans="1:25" x14ac:dyDescent="0.25">
      <c r="A291">
        <v>174</v>
      </c>
      <c r="B291">
        <v>2</v>
      </c>
      <c r="C291" s="1">
        <v>1000000</v>
      </c>
      <c r="D291">
        <v>1</v>
      </c>
      <c r="E291">
        <v>0</v>
      </c>
      <c r="F291">
        <v>0.35</v>
      </c>
      <c r="G291">
        <v>4.3499999999999996</v>
      </c>
      <c r="H291">
        <v>0.35</v>
      </c>
      <c r="I291">
        <v>0</v>
      </c>
      <c r="J291">
        <v>-10.6978585011933</v>
      </c>
      <c r="K291">
        <v>-10.532933060688499</v>
      </c>
      <c r="L291">
        <v>-6.9204017560590501</v>
      </c>
      <c r="M291">
        <v>55.889305365074399</v>
      </c>
      <c r="N291">
        <v>4.8597590345105197E-2</v>
      </c>
      <c r="O291">
        <v>4.1887902047233201</v>
      </c>
      <c r="P291">
        <v>-4.7738804050511696</v>
      </c>
      <c r="Q291">
        <v>13.0860422003904</v>
      </c>
      <c r="R291">
        <v>12.561292590577301</v>
      </c>
      <c r="S291">
        <v>13.576483042680399</v>
      </c>
      <c r="T291">
        <v>12.546065968990799</v>
      </c>
      <c r="U291">
        <v>9.3014484552190399E-2</v>
      </c>
      <c r="V291">
        <v>1.9143356969010401</v>
      </c>
      <c r="W291">
        <v>2.1032799999999998</v>
      </c>
      <c r="X291">
        <v>136.02174786960501</v>
      </c>
      <c r="Y291">
        <v>1</v>
      </c>
    </row>
    <row r="292" spans="1:25" x14ac:dyDescent="0.25">
      <c r="A292">
        <v>174</v>
      </c>
      <c r="B292">
        <v>2</v>
      </c>
      <c r="C292" s="1">
        <v>1000000</v>
      </c>
      <c r="D292">
        <v>1</v>
      </c>
      <c r="E292">
        <v>0</v>
      </c>
      <c r="F292">
        <v>0.375</v>
      </c>
      <c r="G292">
        <v>4.375</v>
      </c>
      <c r="H292">
        <v>0.375</v>
      </c>
      <c r="I292">
        <v>0</v>
      </c>
      <c r="J292">
        <v>-10.1270978309936</v>
      </c>
      <c r="K292">
        <v>-9.9860339501258597</v>
      </c>
      <c r="L292">
        <v>-5.2829576692876401</v>
      </c>
      <c r="M292">
        <v>56.593979246699099</v>
      </c>
      <c r="N292">
        <v>2.8368126219232201E-3</v>
      </c>
      <c r="O292">
        <v>4.18879020478645</v>
      </c>
      <c r="P292">
        <v>-4.8599760642663101</v>
      </c>
      <c r="Q292">
        <v>12.6226594585954</v>
      </c>
      <c r="R292">
        <v>12.5612165690391</v>
      </c>
      <c r="S292">
        <v>12.638884180624499</v>
      </c>
      <c r="T292">
        <v>12.5457622060313</v>
      </c>
      <c r="U292">
        <v>0.122592019022778</v>
      </c>
      <c r="V292">
        <v>1.8436878769946199</v>
      </c>
      <c r="W292">
        <v>2.0232100000000002</v>
      </c>
      <c r="X292">
        <v>160.443444774547</v>
      </c>
      <c r="Y292">
        <v>1</v>
      </c>
    </row>
    <row r="293" spans="1:25" x14ac:dyDescent="0.25">
      <c r="A293">
        <v>174</v>
      </c>
      <c r="B293">
        <v>2</v>
      </c>
      <c r="C293" s="1">
        <v>1000000</v>
      </c>
      <c r="D293">
        <v>1</v>
      </c>
      <c r="E293">
        <v>0</v>
      </c>
      <c r="F293">
        <v>0.4</v>
      </c>
      <c r="G293">
        <v>4.4000000000000004</v>
      </c>
      <c r="H293">
        <v>0.4</v>
      </c>
      <c r="I293">
        <v>0</v>
      </c>
      <c r="J293">
        <v>-9.04385391226851</v>
      </c>
      <c r="K293">
        <v>-8.90899052324386</v>
      </c>
      <c r="L293">
        <v>-3.7798076233668501</v>
      </c>
      <c r="M293">
        <v>57.420518102359502</v>
      </c>
      <c r="N293">
        <v>1.1120189064851399E-2</v>
      </c>
      <c r="O293">
        <v>4.1887902048319203</v>
      </c>
      <c r="P293">
        <v>-4.57356375637303</v>
      </c>
      <c r="Q293">
        <v>12.279935422168</v>
      </c>
      <c r="R293">
        <v>12.5612146836365</v>
      </c>
      <c r="S293">
        <v>11.958559777926</v>
      </c>
      <c r="T293">
        <v>12.545754655991299</v>
      </c>
      <c r="U293">
        <v>0.14463448317987701</v>
      </c>
      <c r="V293">
        <v>1.7770820765303501</v>
      </c>
      <c r="W293">
        <v>2</v>
      </c>
      <c r="X293">
        <v>169.311450405573</v>
      </c>
      <c r="Y293">
        <v>1</v>
      </c>
    </row>
    <row r="294" spans="1:25" x14ac:dyDescent="0.25">
      <c r="A294">
        <v>174</v>
      </c>
      <c r="B294">
        <v>2</v>
      </c>
      <c r="C294" s="1">
        <v>1000000</v>
      </c>
      <c r="D294">
        <v>1</v>
      </c>
      <c r="E294">
        <v>0</v>
      </c>
      <c r="F294">
        <v>0.42499999999999999</v>
      </c>
      <c r="G294">
        <v>4.4249999999999998</v>
      </c>
      <c r="H294">
        <v>0.42499999999999999</v>
      </c>
      <c r="I294">
        <v>0</v>
      </c>
      <c r="J294">
        <v>-8.0054121921844494</v>
      </c>
      <c r="K294">
        <v>-7.8912565957841103</v>
      </c>
      <c r="L294">
        <v>-2.44824707036239</v>
      </c>
      <c r="M294">
        <v>58.266750144642501</v>
      </c>
      <c r="N294">
        <v>3.9153703988155496E-3</v>
      </c>
      <c r="O294">
        <v>4.1887902047859802</v>
      </c>
      <c r="P294">
        <v>-4.2129636477437398</v>
      </c>
      <c r="Q294">
        <v>12.022431599482401</v>
      </c>
      <c r="R294">
        <v>12.5611858485711</v>
      </c>
      <c r="S294">
        <v>11.47067604627</v>
      </c>
      <c r="T294">
        <v>12.545639430445799</v>
      </c>
      <c r="U294">
        <v>0.15380298697442499</v>
      </c>
      <c r="V294">
        <v>1.7171233318408501</v>
      </c>
      <c r="W294">
        <v>2</v>
      </c>
      <c r="X294">
        <v>-86.657899768211294</v>
      </c>
      <c r="Y294">
        <v>1</v>
      </c>
    </row>
    <row r="295" spans="1:25" x14ac:dyDescent="0.25">
      <c r="A295">
        <v>174</v>
      </c>
      <c r="B295">
        <v>2</v>
      </c>
      <c r="C295" s="1">
        <v>1000000</v>
      </c>
      <c r="D295">
        <v>1</v>
      </c>
      <c r="E295">
        <v>0</v>
      </c>
      <c r="F295">
        <v>0.45</v>
      </c>
      <c r="G295">
        <v>4.45</v>
      </c>
      <c r="H295">
        <v>0.45</v>
      </c>
      <c r="I295">
        <v>0</v>
      </c>
      <c r="J295">
        <v>-7.11952548994533</v>
      </c>
      <c r="K295">
        <v>-7.0376065728129404</v>
      </c>
      <c r="L295">
        <v>-1.2717863381033301</v>
      </c>
      <c r="M295">
        <v>59.081530477848503</v>
      </c>
      <c r="N295">
        <v>6.6686623752461496E-2</v>
      </c>
      <c r="O295">
        <v>4.1887902075914001</v>
      </c>
      <c r="P295">
        <v>-3.8699120384311398</v>
      </c>
      <c r="Q295">
        <v>11.8275559349406</v>
      </c>
      <c r="R295">
        <v>12.5612404053183</v>
      </c>
      <c r="S295">
        <v>11.1067821550131</v>
      </c>
      <c r="T295">
        <v>12.545857446379401</v>
      </c>
      <c r="U295">
        <v>0.16290889386142701</v>
      </c>
      <c r="V295">
        <v>1.6718858077291701</v>
      </c>
      <c r="W295">
        <v>2</v>
      </c>
      <c r="X295">
        <v>-168.005600019631</v>
      </c>
      <c r="Y295">
        <v>1</v>
      </c>
    </row>
    <row r="296" spans="1:25" x14ac:dyDescent="0.25">
      <c r="A296">
        <v>174</v>
      </c>
      <c r="B296">
        <v>2</v>
      </c>
      <c r="C296" s="1">
        <v>1000000</v>
      </c>
      <c r="D296">
        <v>1</v>
      </c>
      <c r="E296">
        <v>0</v>
      </c>
      <c r="F296">
        <v>0.47499999999999998</v>
      </c>
      <c r="G296">
        <v>4.4749999999999996</v>
      </c>
      <c r="H296">
        <v>0.47499999999999998</v>
      </c>
      <c r="I296">
        <v>0</v>
      </c>
      <c r="J296">
        <v>-6.3944970194974902</v>
      </c>
      <c r="K296">
        <v>-6.3123987460189204</v>
      </c>
      <c r="L296">
        <v>-0.212643035459437</v>
      </c>
      <c r="M296">
        <v>59.796287417434201</v>
      </c>
      <c r="N296">
        <v>5.9768176489144297E-3</v>
      </c>
      <c r="O296">
        <v>4.1887902047876198</v>
      </c>
      <c r="P296">
        <v>-3.5728413716484799</v>
      </c>
      <c r="Q296">
        <v>11.643835486067101</v>
      </c>
      <c r="R296">
        <v>12.5612902948501</v>
      </c>
      <c r="S296">
        <v>10.7603038660535</v>
      </c>
      <c r="T296">
        <v>12.546056790969701</v>
      </c>
      <c r="U296">
        <v>0.185527034858637</v>
      </c>
      <c r="V296">
        <v>1.62777998884444</v>
      </c>
      <c r="W296">
        <v>2</v>
      </c>
      <c r="X296">
        <v>-164.089281551445</v>
      </c>
      <c r="Y296">
        <v>1</v>
      </c>
    </row>
    <row r="297" spans="1:25" x14ac:dyDescent="0.25">
      <c r="A297">
        <v>174</v>
      </c>
      <c r="B297">
        <v>2</v>
      </c>
      <c r="C297" s="1">
        <v>1000000</v>
      </c>
      <c r="D297">
        <v>1</v>
      </c>
      <c r="E297">
        <v>0</v>
      </c>
      <c r="F297">
        <v>0.5</v>
      </c>
      <c r="G297">
        <v>4.5</v>
      </c>
      <c r="H297">
        <v>0.5</v>
      </c>
      <c r="I297">
        <v>0</v>
      </c>
      <c r="J297">
        <v>-5.8139915215274103</v>
      </c>
      <c r="K297">
        <v>-5.7081278484646303</v>
      </c>
      <c r="L297">
        <v>0.74290044833913504</v>
      </c>
      <c r="M297">
        <v>60.453340255908898</v>
      </c>
      <c r="N297">
        <v>1.3074108274093299E-2</v>
      </c>
      <c r="O297">
        <v>4.1887902047864296</v>
      </c>
      <c r="P297">
        <v>-3.31403301934149</v>
      </c>
      <c r="Q297">
        <v>11.4803175553245</v>
      </c>
      <c r="R297">
        <v>12.5613028987308</v>
      </c>
      <c r="S297">
        <v>10.460126641701599</v>
      </c>
      <c r="T297">
        <v>12.5461071492578</v>
      </c>
      <c r="U297">
        <v>0.208189619591682</v>
      </c>
      <c r="V297">
        <v>1.5878063880288</v>
      </c>
      <c r="W297">
        <v>2</v>
      </c>
      <c r="X297">
        <v>-161.454832660894</v>
      </c>
      <c r="Y297">
        <v>1</v>
      </c>
    </row>
    <row r="298" spans="1:25" x14ac:dyDescent="0.25">
      <c r="A298">
        <v>174</v>
      </c>
      <c r="B298">
        <v>2</v>
      </c>
      <c r="C298" s="1">
        <v>1000000</v>
      </c>
      <c r="D298">
        <v>1</v>
      </c>
      <c r="E298">
        <v>0</v>
      </c>
      <c r="F298">
        <v>0.52500000000000002</v>
      </c>
      <c r="G298">
        <v>4.5250000000000004</v>
      </c>
      <c r="H298">
        <v>0.52500000000000002</v>
      </c>
      <c r="I298">
        <v>0</v>
      </c>
      <c r="J298">
        <v>-5.2964434713311004</v>
      </c>
      <c r="K298">
        <v>-5.2027523980889399</v>
      </c>
      <c r="L298">
        <v>1.61175970038606</v>
      </c>
      <c r="M298">
        <v>61.060639516381201</v>
      </c>
      <c r="N298">
        <v>1.1144205968482901E-2</v>
      </c>
      <c r="O298">
        <v>4.1887902047864403</v>
      </c>
      <c r="P298">
        <v>-3.0895919207497902</v>
      </c>
      <c r="Q298">
        <v>11.3361043293626</v>
      </c>
      <c r="R298">
        <v>12.5613077197315</v>
      </c>
      <c r="S298">
        <v>10.1971110320388</v>
      </c>
      <c r="T298">
        <v>12.546126410915001</v>
      </c>
      <c r="U298">
        <v>0.228791455533355</v>
      </c>
      <c r="V298">
        <v>1.5515556988719299</v>
      </c>
      <c r="W298">
        <v>2</v>
      </c>
      <c r="X298">
        <v>-159.71011673031401</v>
      </c>
      <c r="Y298">
        <v>1</v>
      </c>
    </row>
    <row r="299" spans="1:25" x14ac:dyDescent="0.25">
      <c r="A299">
        <v>174</v>
      </c>
      <c r="B299">
        <v>2</v>
      </c>
      <c r="C299" s="1">
        <v>1000000</v>
      </c>
      <c r="D299">
        <v>1</v>
      </c>
      <c r="E299">
        <v>0</v>
      </c>
      <c r="F299">
        <v>0.55000000000000004</v>
      </c>
      <c r="G299">
        <v>4.55</v>
      </c>
      <c r="H299">
        <v>0.55000000000000004</v>
      </c>
      <c r="I299">
        <v>0</v>
      </c>
      <c r="J299">
        <v>-4.8585321693343904</v>
      </c>
      <c r="K299">
        <v>-4.7708972797462703</v>
      </c>
      <c r="L299">
        <v>2.4066621575795999</v>
      </c>
      <c r="M299">
        <v>61.618035865097902</v>
      </c>
      <c r="N299">
        <v>2.7287361969994699E-2</v>
      </c>
      <c r="O299">
        <v>4.18879020478645</v>
      </c>
      <c r="P299">
        <v>-2.8925782552603398</v>
      </c>
      <c r="Q299">
        <v>11.2010543349624</v>
      </c>
      <c r="R299">
        <v>12.5612692614226</v>
      </c>
      <c r="S299">
        <v>9.9584523395931903</v>
      </c>
      <c r="T299">
        <v>12.5459727508924</v>
      </c>
      <c r="U299">
        <v>0.26555807737350001</v>
      </c>
      <c r="V299">
        <v>1.5157676004932601</v>
      </c>
      <c r="W299">
        <v>2</v>
      </c>
      <c r="X299">
        <v>-158.588465835845</v>
      </c>
      <c r="Y299">
        <v>1</v>
      </c>
    </row>
    <row r="300" spans="1:25" x14ac:dyDescent="0.25">
      <c r="A300">
        <v>174</v>
      </c>
      <c r="B300">
        <v>2</v>
      </c>
      <c r="C300" s="1">
        <v>1000000</v>
      </c>
      <c r="D300">
        <v>1</v>
      </c>
      <c r="E300">
        <v>0</v>
      </c>
      <c r="F300">
        <v>0.57499999999999996</v>
      </c>
      <c r="G300">
        <v>4.5750000000000002</v>
      </c>
      <c r="H300">
        <v>0.57499999999999996</v>
      </c>
      <c r="I300">
        <v>0</v>
      </c>
      <c r="J300">
        <v>-4.4917905817681403</v>
      </c>
      <c r="K300">
        <v>-4.4018749380502999</v>
      </c>
      <c r="L300">
        <v>3.1398140809517399</v>
      </c>
      <c r="M300">
        <v>62.140060969916597</v>
      </c>
      <c r="N300">
        <v>3.9768104982020403E-3</v>
      </c>
      <c r="O300">
        <v>4.1887902047864296</v>
      </c>
      <c r="P300">
        <v>-2.7189627994482302</v>
      </c>
      <c r="Q300">
        <v>11.0819313934868</v>
      </c>
      <c r="R300">
        <v>12.561274861634899</v>
      </c>
      <c r="S300">
        <v>9.7461497750460708</v>
      </c>
      <c r="T300">
        <v>12.545995126011499</v>
      </c>
      <c r="U300">
        <v>0.284840137908284</v>
      </c>
      <c r="V300">
        <v>1.4835726942049201</v>
      </c>
      <c r="W300">
        <v>2</v>
      </c>
      <c r="X300">
        <v>-157.881432886315</v>
      </c>
      <c r="Y300">
        <v>1</v>
      </c>
    </row>
    <row r="301" spans="1:25" x14ac:dyDescent="0.25">
      <c r="A301">
        <v>174</v>
      </c>
      <c r="B301">
        <v>2</v>
      </c>
      <c r="C301" s="1">
        <v>1000000</v>
      </c>
      <c r="D301">
        <v>1</v>
      </c>
      <c r="E301">
        <v>0</v>
      </c>
      <c r="F301">
        <v>0.6</v>
      </c>
      <c r="G301">
        <v>4.5999999999999996</v>
      </c>
      <c r="H301">
        <v>0.6</v>
      </c>
      <c r="I301">
        <v>0</v>
      </c>
      <c r="J301">
        <v>-4.1771963735989504</v>
      </c>
      <c r="K301">
        <v>-4.0785268572604103</v>
      </c>
      <c r="L301">
        <v>3.81886329748508</v>
      </c>
      <c r="M301">
        <v>62.621408077220202</v>
      </c>
      <c r="N301">
        <v>6.4644350262703495E-4</v>
      </c>
      <c r="O301">
        <v>4.1887902047864403</v>
      </c>
      <c r="P301">
        <v>-2.56401363074565</v>
      </c>
      <c r="Q301">
        <v>10.969506384576899</v>
      </c>
      <c r="R301">
        <v>12.5612811129047</v>
      </c>
      <c r="S301">
        <v>9.5473417480126095</v>
      </c>
      <c r="T301">
        <v>12.5460201024016</v>
      </c>
      <c r="U301">
        <v>0.30389826927466801</v>
      </c>
      <c r="V301">
        <v>1.45134778268681</v>
      </c>
      <c r="W301">
        <v>2</v>
      </c>
      <c r="X301">
        <v>-157.53919434003001</v>
      </c>
      <c r="Y301">
        <v>1</v>
      </c>
    </row>
    <row r="302" spans="1:25" x14ac:dyDescent="0.25">
      <c r="A302">
        <v>174</v>
      </c>
      <c r="B302">
        <v>2</v>
      </c>
      <c r="C302" s="1">
        <v>1000000</v>
      </c>
      <c r="D302">
        <v>1</v>
      </c>
      <c r="E302">
        <v>0</v>
      </c>
      <c r="F302">
        <v>0.625</v>
      </c>
      <c r="G302">
        <v>4.625</v>
      </c>
      <c r="H302">
        <v>0.625</v>
      </c>
      <c r="I302">
        <v>0</v>
      </c>
      <c r="J302">
        <v>-3.88537717715506</v>
      </c>
      <c r="K302">
        <v>-3.7938096233964802</v>
      </c>
      <c r="L302">
        <v>4.4501911608394797</v>
      </c>
      <c r="M302">
        <v>63.071564518653098</v>
      </c>
      <c r="N302">
        <v>6.2658350482559494E-2</v>
      </c>
      <c r="O302">
        <v>4.1887902048016796</v>
      </c>
      <c r="P302">
        <v>-2.4240353252486901</v>
      </c>
      <c r="Q302">
        <v>10.864029581070801</v>
      </c>
      <c r="R302">
        <v>12.561272220264501</v>
      </c>
      <c r="S302">
        <v>9.3652135884730097</v>
      </c>
      <c r="T302">
        <v>12.5459845700921</v>
      </c>
      <c r="U302">
        <v>0.30373360980193398</v>
      </c>
      <c r="V302">
        <v>1.42042608475927</v>
      </c>
      <c r="W302">
        <v>2</v>
      </c>
      <c r="X302">
        <v>-157.39724999057501</v>
      </c>
      <c r="Y302">
        <v>1</v>
      </c>
    </row>
    <row r="303" spans="1:25" x14ac:dyDescent="0.25">
      <c r="A303">
        <v>174</v>
      </c>
      <c r="B303">
        <v>2</v>
      </c>
      <c r="C303" s="1">
        <v>1000000</v>
      </c>
      <c r="D303">
        <v>1</v>
      </c>
      <c r="E303">
        <v>0</v>
      </c>
      <c r="F303">
        <v>0.65</v>
      </c>
      <c r="G303">
        <v>4.6500000000000004</v>
      </c>
      <c r="H303">
        <v>0.65</v>
      </c>
      <c r="I303">
        <v>0</v>
      </c>
      <c r="J303">
        <v>-3.5251669120605098</v>
      </c>
      <c r="K303">
        <v>-3.5431994031312199</v>
      </c>
      <c r="L303">
        <v>5.0403577651387099</v>
      </c>
      <c r="M303">
        <v>63.494746012240199</v>
      </c>
      <c r="N303">
        <v>9.0229410852069203E-2</v>
      </c>
      <c r="O303">
        <v>4.1887902047887602</v>
      </c>
      <c r="P303">
        <v>-2.2981843685246699</v>
      </c>
      <c r="Q303">
        <v>10.7678371737818</v>
      </c>
      <c r="R303">
        <v>12.5612841976798</v>
      </c>
      <c r="S303">
        <v>9.1972747039607103</v>
      </c>
      <c r="T303">
        <v>12.546032425949999</v>
      </c>
      <c r="U303">
        <v>0.32297611335693699</v>
      </c>
      <c r="V303">
        <v>1.39191751478111</v>
      </c>
      <c r="W303">
        <v>2</v>
      </c>
      <c r="X303">
        <v>-157.53847113579101</v>
      </c>
      <c r="Y303">
        <v>1</v>
      </c>
    </row>
    <row r="304" spans="1:25" x14ac:dyDescent="0.25">
      <c r="A304">
        <v>174</v>
      </c>
      <c r="B304">
        <v>2</v>
      </c>
      <c r="C304" s="1">
        <v>1000000</v>
      </c>
      <c r="D304">
        <v>1</v>
      </c>
      <c r="E304">
        <v>0</v>
      </c>
      <c r="F304">
        <v>0.67500000000000004</v>
      </c>
      <c r="G304">
        <v>4.6749999999999998</v>
      </c>
      <c r="H304">
        <v>0.67500000000000004</v>
      </c>
      <c r="I304">
        <v>0</v>
      </c>
      <c r="J304">
        <v>-3.4137830396038602</v>
      </c>
      <c r="K304">
        <v>-3.3181301432018699</v>
      </c>
      <c r="L304">
        <v>5.5933280593277797</v>
      </c>
      <c r="M304">
        <v>63.888334006502298</v>
      </c>
      <c r="N304">
        <v>1.47418024588077E-3</v>
      </c>
      <c r="O304">
        <v>4.1887902047864296</v>
      </c>
      <c r="P304">
        <v>-2.18353725205003</v>
      </c>
      <c r="Q304">
        <v>10.674662582463201</v>
      </c>
      <c r="R304">
        <v>12.561291121356</v>
      </c>
      <c r="S304">
        <v>9.0369974081752105</v>
      </c>
      <c r="T304">
        <v>12.546060089224101</v>
      </c>
      <c r="U304">
        <v>0.33225884233035802</v>
      </c>
      <c r="V304">
        <v>1.3646704169272199</v>
      </c>
      <c r="W304">
        <v>2</v>
      </c>
      <c r="X304">
        <v>-157.70229419705899</v>
      </c>
      <c r="Y304">
        <v>1</v>
      </c>
    </row>
    <row r="305" spans="1:25" x14ac:dyDescent="0.25">
      <c r="A305">
        <v>174</v>
      </c>
      <c r="B305">
        <v>2</v>
      </c>
      <c r="C305" s="1">
        <v>1000000</v>
      </c>
      <c r="D305">
        <v>1</v>
      </c>
      <c r="E305">
        <v>0</v>
      </c>
      <c r="F305">
        <v>0.7</v>
      </c>
      <c r="G305">
        <v>4.7</v>
      </c>
      <c r="H305">
        <v>0.7</v>
      </c>
      <c r="I305">
        <v>0</v>
      </c>
      <c r="J305">
        <v>-3.2095593441130199</v>
      </c>
      <c r="K305">
        <v>-3.11742488503686</v>
      </c>
      <c r="L305">
        <v>6.1129282429977998</v>
      </c>
      <c r="M305">
        <v>64.264252117754694</v>
      </c>
      <c r="N305">
        <v>1.8488332258589299E-3</v>
      </c>
      <c r="O305">
        <v>4.1887902047864198</v>
      </c>
      <c r="P305">
        <v>-2.0782033611008401</v>
      </c>
      <c r="Q305">
        <v>10.589213464928999</v>
      </c>
      <c r="R305">
        <v>12.561292509908601</v>
      </c>
      <c r="S305">
        <v>8.89252917645568</v>
      </c>
      <c r="T305">
        <v>12.5460656368657</v>
      </c>
      <c r="U305">
        <v>0.32950001931287598</v>
      </c>
      <c r="V305">
        <v>1.3376212260800699</v>
      </c>
      <c r="W305">
        <v>2</v>
      </c>
      <c r="X305">
        <v>-157.98050577628501</v>
      </c>
      <c r="Y305">
        <v>1</v>
      </c>
    </row>
    <row r="306" spans="1:25" x14ac:dyDescent="0.25">
      <c r="A306">
        <v>174</v>
      </c>
      <c r="B306">
        <v>2</v>
      </c>
      <c r="C306" s="1">
        <v>1000000</v>
      </c>
      <c r="D306">
        <v>1</v>
      </c>
      <c r="E306">
        <v>0</v>
      </c>
      <c r="F306">
        <v>0.72499999999999998</v>
      </c>
      <c r="G306">
        <v>4.7249999999999996</v>
      </c>
      <c r="H306">
        <v>0.72499999999999998</v>
      </c>
      <c r="I306">
        <v>0</v>
      </c>
      <c r="J306">
        <v>-3.0127372997025499</v>
      </c>
      <c r="K306">
        <v>-2.9372289018937598</v>
      </c>
      <c r="L306">
        <v>6.6022059057822302</v>
      </c>
      <c r="M306">
        <v>64.625816850799396</v>
      </c>
      <c r="N306">
        <v>0.180272098681141</v>
      </c>
      <c r="O306">
        <v>4.1887902306838196</v>
      </c>
      <c r="P306">
        <v>-1.980331829579</v>
      </c>
      <c r="Q306">
        <v>10.5163407819312</v>
      </c>
      <c r="R306">
        <v>12.5612883831364</v>
      </c>
      <c r="S306">
        <v>8.7641355250839794</v>
      </c>
      <c r="T306">
        <v>12.5460491475606</v>
      </c>
      <c r="U306">
        <v>0.28634663309581798</v>
      </c>
      <c r="V306">
        <v>1.3105836055481901</v>
      </c>
      <c r="W306">
        <v>2</v>
      </c>
      <c r="X306">
        <v>-158.43494623924201</v>
      </c>
      <c r="Y306">
        <v>1</v>
      </c>
    </row>
    <row r="307" spans="1:25" x14ac:dyDescent="0.25">
      <c r="A307">
        <v>174</v>
      </c>
      <c r="B307">
        <v>2</v>
      </c>
      <c r="C307" s="1">
        <v>1000000</v>
      </c>
      <c r="D307">
        <v>1</v>
      </c>
      <c r="E307">
        <v>0</v>
      </c>
      <c r="F307">
        <v>0.75</v>
      </c>
      <c r="G307">
        <v>4.75</v>
      </c>
      <c r="H307">
        <v>0.75</v>
      </c>
      <c r="I307">
        <v>0</v>
      </c>
      <c r="J307">
        <v>-2.8642339652339301</v>
      </c>
      <c r="K307">
        <v>-2.7725543700648299</v>
      </c>
      <c r="L307">
        <v>7.0643400474695497</v>
      </c>
      <c r="M307">
        <v>64.962812472603005</v>
      </c>
      <c r="N307">
        <v>9.4141696547541901E-3</v>
      </c>
      <c r="O307">
        <v>4.1887902047864101</v>
      </c>
      <c r="P307">
        <v>-1.8903164128418899</v>
      </c>
      <c r="Q307">
        <v>10.440455656539299</v>
      </c>
      <c r="R307">
        <v>12.5612883182377</v>
      </c>
      <c r="S307">
        <v>8.6383147206591708</v>
      </c>
      <c r="T307">
        <v>12.5460488879626</v>
      </c>
      <c r="U307">
        <v>0.27956676766523603</v>
      </c>
      <c r="V307">
        <v>1.2859693305375199</v>
      </c>
      <c r="W307">
        <v>2</v>
      </c>
      <c r="X307">
        <v>-158.78198183585201</v>
      </c>
      <c r="Y307">
        <v>1</v>
      </c>
    </row>
    <row r="308" spans="1:25" x14ac:dyDescent="0.25">
      <c r="A308">
        <v>174</v>
      </c>
      <c r="B308">
        <v>2</v>
      </c>
      <c r="C308" s="1">
        <v>1000000</v>
      </c>
      <c r="D308">
        <v>1</v>
      </c>
      <c r="E308">
        <v>0</v>
      </c>
      <c r="F308">
        <v>0.77500000000000002</v>
      </c>
      <c r="G308">
        <v>4.7750000000000004</v>
      </c>
      <c r="H308">
        <v>0.77500000000000002</v>
      </c>
      <c r="I308">
        <v>0</v>
      </c>
      <c r="J308">
        <v>-2.7143725800697101</v>
      </c>
      <c r="K308">
        <v>-2.6161116641480699</v>
      </c>
      <c r="L308">
        <v>7.5027472076191497</v>
      </c>
      <c r="M308">
        <v>65.260351108693499</v>
      </c>
      <c r="N308">
        <v>1.17449233113281E-3</v>
      </c>
      <c r="O308">
        <v>4.1887902047864101</v>
      </c>
      <c r="P308">
        <v>-1.80722218069721</v>
      </c>
      <c r="Q308">
        <v>10.3530754941415</v>
      </c>
      <c r="R308">
        <v>12.5612972734598</v>
      </c>
      <c r="S308">
        <v>8.4966438895165393</v>
      </c>
      <c r="T308">
        <v>12.546084669162999</v>
      </c>
      <c r="U308">
        <v>0.29996564872744802</v>
      </c>
      <c r="V308">
        <v>1.26128579074708</v>
      </c>
      <c r="W308">
        <v>2</v>
      </c>
      <c r="X308">
        <v>-159.29041301473299</v>
      </c>
      <c r="Y308">
        <v>1</v>
      </c>
    </row>
    <row r="309" spans="1:25" x14ac:dyDescent="0.25">
      <c r="A309">
        <v>174</v>
      </c>
      <c r="B309">
        <v>2</v>
      </c>
      <c r="C309" s="1">
        <v>1000000</v>
      </c>
      <c r="D309">
        <v>1</v>
      </c>
      <c r="E309">
        <v>0</v>
      </c>
      <c r="F309">
        <v>0.8</v>
      </c>
      <c r="G309">
        <v>4.8</v>
      </c>
      <c r="H309">
        <v>0.8</v>
      </c>
      <c r="I309">
        <v>0</v>
      </c>
      <c r="J309">
        <v>-2.5705406259898198</v>
      </c>
      <c r="K309">
        <v>-2.4779840697149398</v>
      </c>
      <c r="L309">
        <v>7.9176927499853296</v>
      </c>
      <c r="M309">
        <v>65.561218592992205</v>
      </c>
      <c r="N309">
        <v>1.5545862143203199E-3</v>
      </c>
      <c r="O309">
        <v>4.1887902047864198</v>
      </c>
      <c r="P309">
        <v>-1.72927534000695</v>
      </c>
      <c r="Q309">
        <v>10.283869066370899</v>
      </c>
      <c r="R309">
        <v>12.561297247727399</v>
      </c>
      <c r="S309">
        <v>8.3819364869022195</v>
      </c>
      <c r="T309">
        <v>12.5460845662969</v>
      </c>
      <c r="U309">
        <v>0.28938136931111302</v>
      </c>
      <c r="V309">
        <v>1.2373099811361901</v>
      </c>
      <c r="W309">
        <v>2</v>
      </c>
      <c r="X309">
        <v>-159.83256849289</v>
      </c>
      <c r="Y309">
        <v>1</v>
      </c>
    </row>
    <row r="310" spans="1:25" x14ac:dyDescent="0.25">
      <c r="A310">
        <v>174</v>
      </c>
      <c r="B310">
        <v>2</v>
      </c>
      <c r="C310" s="1">
        <v>1000000</v>
      </c>
      <c r="D310">
        <v>1</v>
      </c>
      <c r="E310">
        <v>0</v>
      </c>
      <c r="F310">
        <v>0.82499999999999996</v>
      </c>
      <c r="G310">
        <v>4.8250000000000002</v>
      </c>
      <c r="H310">
        <v>0.82499999999999996</v>
      </c>
      <c r="I310">
        <v>0</v>
      </c>
      <c r="J310">
        <v>-2.4437666769176598</v>
      </c>
      <c r="K310">
        <v>-2.3616158682503898</v>
      </c>
      <c r="L310">
        <v>8.3104075058591196</v>
      </c>
      <c r="M310">
        <v>65.8933092426754</v>
      </c>
      <c r="N310">
        <v>1.8165466346999799E-2</v>
      </c>
      <c r="O310">
        <v>4.1887902050614496</v>
      </c>
      <c r="P310">
        <v>-1.65449611658508</v>
      </c>
      <c r="Q310">
        <v>10.249511987561</v>
      </c>
      <c r="R310">
        <v>12.5612842959452</v>
      </c>
      <c r="S310">
        <v>8.3210255069715906</v>
      </c>
      <c r="T310">
        <v>12.546032816477499</v>
      </c>
      <c r="U310">
        <v>0.198834290357814</v>
      </c>
      <c r="V310">
        <v>1.2128801152970401</v>
      </c>
      <c r="W310">
        <v>2</v>
      </c>
      <c r="X310">
        <v>-160.37418308565199</v>
      </c>
      <c r="Y310">
        <v>1</v>
      </c>
    </row>
    <row r="311" spans="1:25" x14ac:dyDescent="0.25">
      <c r="A311">
        <v>174</v>
      </c>
      <c r="B311">
        <v>2</v>
      </c>
      <c r="C311" s="1">
        <v>1000000</v>
      </c>
      <c r="D311">
        <v>1</v>
      </c>
      <c r="E311">
        <v>0</v>
      </c>
      <c r="F311">
        <v>0.85</v>
      </c>
      <c r="G311">
        <v>4.8499999999999996</v>
      </c>
      <c r="H311">
        <v>0.85</v>
      </c>
      <c r="I311">
        <v>0</v>
      </c>
      <c r="J311">
        <v>-2.3296821397152501</v>
      </c>
      <c r="K311">
        <v>-2.24534136650351</v>
      </c>
      <c r="L311">
        <v>8.6853554545134699</v>
      </c>
      <c r="M311">
        <v>66.192662355096701</v>
      </c>
      <c r="N311">
        <v>6.7195500995912599E-4</v>
      </c>
      <c r="O311">
        <v>4.1887902047861996</v>
      </c>
      <c r="P311">
        <v>-1.5817371757399099</v>
      </c>
      <c r="Q311">
        <v>10.2025563263193</v>
      </c>
      <c r="R311">
        <v>12.561286983422599</v>
      </c>
      <c r="S311">
        <v>8.2450096953211904</v>
      </c>
      <c r="T311">
        <v>12.546043554577601</v>
      </c>
      <c r="U311">
        <v>0.29102609792468098</v>
      </c>
      <c r="V311">
        <v>1.18934595830957</v>
      </c>
      <c r="W311">
        <v>2</v>
      </c>
      <c r="X311">
        <v>-161.02461633774601</v>
      </c>
      <c r="Y311">
        <v>1</v>
      </c>
    </row>
    <row r="312" spans="1:25" x14ac:dyDescent="0.25">
      <c r="A312">
        <v>174</v>
      </c>
      <c r="B312">
        <v>2</v>
      </c>
      <c r="C312" s="1">
        <v>1000000</v>
      </c>
      <c r="D312">
        <v>1</v>
      </c>
      <c r="E312">
        <v>0</v>
      </c>
      <c r="F312">
        <v>0.875</v>
      </c>
      <c r="G312">
        <v>4.875</v>
      </c>
      <c r="H312">
        <v>0.875</v>
      </c>
      <c r="I312">
        <v>0</v>
      </c>
      <c r="J312">
        <v>-2.2206308298721802</v>
      </c>
      <c r="K312">
        <v>-2.1286144924393899</v>
      </c>
      <c r="L312">
        <v>9.0436727097614504</v>
      </c>
      <c r="M312">
        <v>66.409080294440798</v>
      </c>
      <c r="N312">
        <v>6.3049723772108798E-4</v>
      </c>
      <c r="O312">
        <v>4.1887902047864003</v>
      </c>
      <c r="P312">
        <v>-1.5202401914379999</v>
      </c>
      <c r="Q312">
        <v>10.1123459710769</v>
      </c>
      <c r="R312">
        <v>12.5612965181418</v>
      </c>
      <c r="S312">
        <v>8.1023060622454093</v>
      </c>
      <c r="T312">
        <v>12.5460816513956</v>
      </c>
      <c r="U312">
        <v>0.22803582766409999</v>
      </c>
      <c r="V312">
        <v>1.16833604917569</v>
      </c>
      <c r="W312">
        <v>2</v>
      </c>
      <c r="X312">
        <v>-161.60657399236601</v>
      </c>
      <c r="Y312">
        <v>1</v>
      </c>
    </row>
    <row r="313" spans="1:25" x14ac:dyDescent="0.25">
      <c r="A313">
        <v>174</v>
      </c>
      <c r="B313">
        <v>2</v>
      </c>
      <c r="C313" s="1">
        <v>1000000</v>
      </c>
      <c r="D313">
        <v>1</v>
      </c>
      <c r="E313">
        <v>0</v>
      </c>
      <c r="F313">
        <v>0.9</v>
      </c>
      <c r="G313">
        <v>4.9000000000000004</v>
      </c>
      <c r="H313">
        <v>0.9</v>
      </c>
      <c r="I313">
        <v>0</v>
      </c>
      <c r="J313">
        <v>-2.1098602823633201</v>
      </c>
      <c r="K313">
        <v>-2.0286305678919598</v>
      </c>
      <c r="L313">
        <v>9.3840208099291296</v>
      </c>
      <c r="M313">
        <v>66.668616359346103</v>
      </c>
      <c r="N313">
        <v>2.1016713057826999E-4</v>
      </c>
      <c r="O313">
        <v>4.1887902047864198</v>
      </c>
      <c r="P313">
        <v>-1.4579777987582001</v>
      </c>
      <c r="Q313">
        <v>10.0616723924363</v>
      </c>
      <c r="R313">
        <v>12.561295793254001</v>
      </c>
      <c r="S313">
        <v>8.0210622101041107</v>
      </c>
      <c r="T313">
        <v>12.5460787552231</v>
      </c>
      <c r="U313">
        <v>0.21419594058838901</v>
      </c>
      <c r="V313">
        <v>1.1463102550105899</v>
      </c>
      <c r="W313">
        <v>2</v>
      </c>
      <c r="X313">
        <v>-157.32741821708001</v>
      </c>
      <c r="Y313">
        <v>1</v>
      </c>
    </row>
    <row r="314" spans="1:25" x14ac:dyDescent="0.25">
      <c r="A314">
        <v>174</v>
      </c>
      <c r="B314">
        <v>2</v>
      </c>
      <c r="C314" s="1">
        <v>1000000</v>
      </c>
      <c r="D314">
        <v>1</v>
      </c>
      <c r="E314">
        <v>0</v>
      </c>
      <c r="F314">
        <v>0.92500000000000004</v>
      </c>
      <c r="G314">
        <v>4.9249999999999998</v>
      </c>
      <c r="H314">
        <v>0.92500000000000004</v>
      </c>
      <c r="I314">
        <v>0</v>
      </c>
      <c r="J314">
        <v>-2.0245659652721302</v>
      </c>
      <c r="K314">
        <v>-1.93063841676516</v>
      </c>
      <c r="L314">
        <v>9.70913222503982</v>
      </c>
      <c r="M314">
        <v>66.919727519923697</v>
      </c>
      <c r="N314">
        <v>4.4089350468315596E-3</v>
      </c>
      <c r="O314">
        <v>4.1887902048403802</v>
      </c>
      <c r="P314">
        <v>-1.3947603680567</v>
      </c>
      <c r="Q314">
        <v>10.0151199535652</v>
      </c>
      <c r="R314">
        <v>12.561296260620701</v>
      </c>
      <c r="S314">
        <v>7.9466653120855897</v>
      </c>
      <c r="T314">
        <v>12.546080622747899</v>
      </c>
      <c r="U314">
        <v>0.163938672903541</v>
      </c>
      <c r="V314">
        <v>1.1237442760546501</v>
      </c>
      <c r="W314">
        <v>2</v>
      </c>
      <c r="X314">
        <v>-153.165159285649</v>
      </c>
      <c r="Y314">
        <v>1</v>
      </c>
    </row>
    <row r="315" spans="1:25" x14ac:dyDescent="0.25">
      <c r="A315">
        <v>174</v>
      </c>
      <c r="B315">
        <v>2</v>
      </c>
      <c r="C315" s="1">
        <v>1000000</v>
      </c>
      <c r="D315">
        <v>1</v>
      </c>
      <c r="E315">
        <v>0</v>
      </c>
      <c r="F315">
        <v>0.95</v>
      </c>
      <c r="G315">
        <v>4.95</v>
      </c>
      <c r="H315">
        <v>0.95</v>
      </c>
      <c r="I315">
        <v>0</v>
      </c>
      <c r="J315">
        <v>-1.93542814108476</v>
      </c>
      <c r="K315">
        <v>-1.8391495350270699</v>
      </c>
      <c r="L315">
        <v>10.0203118270323</v>
      </c>
      <c r="M315">
        <v>67.134806876287598</v>
      </c>
      <c r="N315">
        <v>3.1755432703909903E-2</v>
      </c>
      <c r="O315">
        <v>4.1887902054074004</v>
      </c>
      <c r="P315">
        <v>-1.3395241783407199</v>
      </c>
      <c r="Q315">
        <v>9.9532728964977295</v>
      </c>
      <c r="R315">
        <v>12.561299611507099</v>
      </c>
      <c r="S315">
        <v>7.85003898090081</v>
      </c>
      <c r="T315">
        <v>12.546094011493899</v>
      </c>
      <c r="U315">
        <v>0.32048820806975198</v>
      </c>
      <c r="V315">
        <v>1.1021572525302299</v>
      </c>
      <c r="W315">
        <v>2</v>
      </c>
      <c r="X315">
        <v>-148.62778339243701</v>
      </c>
      <c r="Y315">
        <v>1</v>
      </c>
    </row>
    <row r="316" spans="1:25" x14ac:dyDescent="0.25">
      <c r="A316">
        <v>174</v>
      </c>
      <c r="B316">
        <v>2</v>
      </c>
      <c r="C316" s="1">
        <v>1000000</v>
      </c>
      <c r="D316">
        <v>1</v>
      </c>
      <c r="E316">
        <v>0</v>
      </c>
      <c r="F316">
        <v>0.97499999999999998</v>
      </c>
      <c r="G316">
        <v>4.9749999999999996</v>
      </c>
      <c r="H316">
        <v>0.97499999999999998</v>
      </c>
      <c r="I316">
        <v>0</v>
      </c>
      <c r="J316">
        <v>-1.46557781041882</v>
      </c>
      <c r="K316">
        <v>-1.76743878389618</v>
      </c>
      <c r="L316">
        <v>10.311706657364599</v>
      </c>
      <c r="M316">
        <v>67.401417619924999</v>
      </c>
      <c r="N316">
        <v>9.0162187888606707E-2</v>
      </c>
      <c r="O316">
        <v>4.1887902050389396</v>
      </c>
      <c r="P316">
        <v>-1.2861155357415299</v>
      </c>
      <c r="Q316">
        <v>9.9605364842099906</v>
      </c>
      <c r="R316">
        <v>12.5613017136161</v>
      </c>
      <c r="S316">
        <v>7.8251024473453903</v>
      </c>
      <c r="T316">
        <v>12.546102411775101</v>
      </c>
      <c r="U316">
        <v>-1.5784520581233401E-2</v>
      </c>
      <c r="V316">
        <v>1.0839833456291701</v>
      </c>
      <c r="W316">
        <v>2</v>
      </c>
      <c r="X316">
        <v>-148.93591815898199</v>
      </c>
      <c r="Y316">
        <v>1</v>
      </c>
    </row>
    <row r="317" spans="1:25" x14ac:dyDescent="0.25">
      <c r="A317">
        <v>174</v>
      </c>
      <c r="B317">
        <v>2</v>
      </c>
      <c r="C317" s="1">
        <v>1000000</v>
      </c>
      <c r="D317">
        <v>1</v>
      </c>
      <c r="E317">
        <v>0</v>
      </c>
      <c r="F317">
        <v>1</v>
      </c>
      <c r="G317">
        <v>5</v>
      </c>
      <c r="H317">
        <v>1</v>
      </c>
      <c r="I317">
        <v>0</v>
      </c>
      <c r="J317">
        <v>-1.7433792427267001</v>
      </c>
      <c r="K317">
        <v>-1.6906052150222199</v>
      </c>
      <c r="L317">
        <v>10.596256225204201</v>
      </c>
      <c r="M317">
        <v>67.634691760606998</v>
      </c>
      <c r="N317">
        <v>7.4103970482783399E-4</v>
      </c>
      <c r="O317">
        <v>4.1887902047864101</v>
      </c>
      <c r="P317">
        <v>-1.2329628672128801</v>
      </c>
      <c r="Q317">
        <v>9.9291846114913405</v>
      </c>
      <c r="R317">
        <v>12.561301856806301</v>
      </c>
      <c r="S317">
        <v>7.7735540081548402</v>
      </c>
      <c r="T317">
        <v>12.5461029838276</v>
      </c>
      <c r="U317">
        <v>-4.9845150596801703E-2</v>
      </c>
      <c r="V317">
        <v>1.0610671793753499</v>
      </c>
      <c r="W317">
        <v>2</v>
      </c>
      <c r="X317">
        <v>-159.804133065732</v>
      </c>
      <c r="Y317">
        <v>1</v>
      </c>
    </row>
    <row r="318" spans="1:25" x14ac:dyDescent="0.25">
      <c r="A318">
        <v>174</v>
      </c>
      <c r="B318">
        <v>2</v>
      </c>
      <c r="C318" s="1">
        <v>1000000</v>
      </c>
      <c r="D318">
        <v>1</v>
      </c>
      <c r="E318">
        <v>0</v>
      </c>
      <c r="F318">
        <v>1.0249999999999999</v>
      </c>
      <c r="G318">
        <v>5.0250000000000004</v>
      </c>
      <c r="H318">
        <v>1.0249999999999999</v>
      </c>
      <c r="I318">
        <v>0</v>
      </c>
      <c r="J318">
        <v>-1.71234009763478</v>
      </c>
      <c r="K318">
        <v>-1.62241428998091</v>
      </c>
      <c r="L318">
        <v>10.864526533117299</v>
      </c>
      <c r="M318">
        <v>67.869400173717096</v>
      </c>
      <c r="N318">
        <v>7.1267877527469905E-4</v>
      </c>
      <c r="O318">
        <v>4.1887902047864296</v>
      </c>
      <c r="P318">
        <v>-1.1833123862063</v>
      </c>
      <c r="Q318">
        <v>9.9052855457341398</v>
      </c>
      <c r="R318">
        <v>12.561321404213199</v>
      </c>
      <c r="S318">
        <v>7.7397527985029404</v>
      </c>
      <c r="T318">
        <v>12.5461810833232</v>
      </c>
      <c r="U318">
        <v>-0.16708497493031799</v>
      </c>
      <c r="V318">
        <v>1.0440081243464501</v>
      </c>
      <c r="W318">
        <v>2</v>
      </c>
      <c r="X318">
        <v>-154.874380529897</v>
      </c>
      <c r="Y318">
        <v>1</v>
      </c>
    </row>
    <row r="319" spans="1:25" x14ac:dyDescent="0.25">
      <c r="A319">
        <v>174</v>
      </c>
      <c r="B319">
        <v>2</v>
      </c>
      <c r="C319" s="1">
        <v>1000000</v>
      </c>
      <c r="D319">
        <v>1</v>
      </c>
      <c r="E319">
        <v>0</v>
      </c>
      <c r="F319">
        <v>1.05</v>
      </c>
      <c r="G319">
        <v>5.05</v>
      </c>
      <c r="H319">
        <v>1.05</v>
      </c>
      <c r="I319">
        <v>0</v>
      </c>
      <c r="J319">
        <v>-1.6659033541275601</v>
      </c>
      <c r="K319">
        <v>-1.5529928443505701</v>
      </c>
      <c r="L319">
        <v>11.125575878962101</v>
      </c>
      <c r="M319">
        <v>68.078882966706502</v>
      </c>
      <c r="N319">
        <v>2.2481210009914401E-3</v>
      </c>
      <c r="O319">
        <v>4.1887902047864198</v>
      </c>
      <c r="P319">
        <v>-1.13501009480429</v>
      </c>
      <c r="Q319">
        <v>9.8718789459695895</v>
      </c>
      <c r="R319">
        <v>12.561321400207399</v>
      </c>
      <c r="S319">
        <v>7.6879047384126498</v>
      </c>
      <c r="T319">
        <v>12.5461810673162</v>
      </c>
      <c r="U319">
        <v>-0.16166784802506301</v>
      </c>
      <c r="V319">
        <v>1.0241653346988899</v>
      </c>
      <c r="W319">
        <v>2</v>
      </c>
      <c r="X319">
        <v>-160.664167140437</v>
      </c>
      <c r="Y319">
        <v>1</v>
      </c>
    </row>
    <row r="320" spans="1:25" x14ac:dyDescent="0.25">
      <c r="A320">
        <v>174</v>
      </c>
      <c r="B320">
        <v>2</v>
      </c>
      <c r="C320" s="1">
        <v>1000000</v>
      </c>
      <c r="D320">
        <v>1</v>
      </c>
      <c r="E320">
        <v>0</v>
      </c>
      <c r="F320">
        <v>1.075</v>
      </c>
      <c r="G320">
        <v>5.0750000000000002</v>
      </c>
      <c r="H320">
        <v>1.075</v>
      </c>
      <c r="I320">
        <v>0</v>
      </c>
      <c r="J320">
        <v>-1.75435005155734</v>
      </c>
      <c r="K320">
        <v>-1.48717075102791</v>
      </c>
      <c r="L320">
        <v>11.376002280072299</v>
      </c>
      <c r="M320">
        <v>68.2809048910011</v>
      </c>
      <c r="N320">
        <v>5.10426704251251E-2</v>
      </c>
      <c r="O320">
        <v>4.1887902048076802</v>
      </c>
      <c r="P320">
        <v>-1.08852719168768</v>
      </c>
      <c r="Q320">
        <v>9.8408224551942602</v>
      </c>
      <c r="R320">
        <v>12.5613216138612</v>
      </c>
      <c r="S320">
        <v>7.6392426639355602</v>
      </c>
      <c r="T320">
        <v>12.5461819208961</v>
      </c>
      <c r="U320">
        <v>-0.155454050295013</v>
      </c>
      <c r="V320">
        <v>1.0044049214675099</v>
      </c>
      <c r="W320">
        <v>2</v>
      </c>
      <c r="X320">
        <v>-166.484773102443</v>
      </c>
      <c r="Y320">
        <v>1</v>
      </c>
    </row>
    <row r="321" spans="1:25" x14ac:dyDescent="0.25">
      <c r="A321">
        <v>174</v>
      </c>
      <c r="B321">
        <v>2</v>
      </c>
      <c r="C321" s="1">
        <v>1000000</v>
      </c>
      <c r="D321">
        <v>1</v>
      </c>
      <c r="E321">
        <v>0</v>
      </c>
      <c r="F321">
        <v>1.1000000000000001</v>
      </c>
      <c r="G321">
        <v>5.0999999999999996</v>
      </c>
      <c r="H321">
        <v>1.1000000000000001</v>
      </c>
      <c r="I321">
        <v>0</v>
      </c>
      <c r="J321">
        <v>-1.67785121578598</v>
      </c>
      <c r="K321">
        <v>-1.4256777361084301</v>
      </c>
      <c r="L321">
        <v>11.616494563006601</v>
      </c>
      <c r="M321">
        <v>68.480435949386504</v>
      </c>
      <c r="N321">
        <v>3.83784857432839E-3</v>
      </c>
      <c r="O321">
        <v>4.1887902047863497</v>
      </c>
      <c r="P321">
        <v>-1.0439586240977099</v>
      </c>
      <c r="Q321">
        <v>9.8129104575316699</v>
      </c>
      <c r="R321">
        <v>12.5613219675698</v>
      </c>
      <c r="S321">
        <v>7.5980683246295504</v>
      </c>
      <c r="T321">
        <v>12.5461833340173</v>
      </c>
      <c r="U321">
        <v>-0.144476795163994</v>
      </c>
      <c r="V321">
        <v>0.98501380023219398</v>
      </c>
      <c r="W321">
        <v>2</v>
      </c>
      <c r="X321">
        <v>-162.045202491401</v>
      </c>
      <c r="Y321">
        <v>1</v>
      </c>
    </row>
    <row r="322" spans="1:25" x14ac:dyDescent="0.25">
      <c r="A322">
        <v>174</v>
      </c>
      <c r="B322">
        <v>2</v>
      </c>
      <c r="C322" s="1">
        <v>1000000</v>
      </c>
      <c r="D322">
        <v>1</v>
      </c>
      <c r="E322">
        <v>0</v>
      </c>
      <c r="F322">
        <v>1.125</v>
      </c>
      <c r="G322">
        <v>5.125</v>
      </c>
      <c r="H322">
        <v>1.125</v>
      </c>
      <c r="I322">
        <v>0</v>
      </c>
      <c r="J322">
        <v>-0.995447629531647</v>
      </c>
      <c r="K322">
        <v>-1.3632038943451199</v>
      </c>
      <c r="L322">
        <v>11.8466097267764</v>
      </c>
      <c r="M322">
        <v>68.661688128370898</v>
      </c>
      <c r="N322">
        <v>0.28750327293609901</v>
      </c>
      <c r="O322">
        <v>4.18879021050091</v>
      </c>
      <c r="P322">
        <v>-0.99926121564563097</v>
      </c>
      <c r="Q322">
        <v>9.7762409583848697</v>
      </c>
      <c r="R322">
        <v>12.561322310855299</v>
      </c>
      <c r="S322">
        <v>7.5489442776493396</v>
      </c>
      <c r="T322">
        <v>12.5461847055089</v>
      </c>
      <c r="U322">
        <v>-0.14627676448025301</v>
      </c>
      <c r="V322">
        <v>0.96455680502776298</v>
      </c>
      <c r="W322">
        <v>2</v>
      </c>
      <c r="X322">
        <v>-162.85510918186699</v>
      </c>
      <c r="Y322">
        <v>1</v>
      </c>
    </row>
    <row r="323" spans="1:25" x14ac:dyDescent="0.25">
      <c r="A323">
        <v>174</v>
      </c>
      <c r="B323">
        <v>2</v>
      </c>
      <c r="C323" s="1">
        <v>1000000</v>
      </c>
      <c r="D323">
        <v>1</v>
      </c>
      <c r="E323">
        <v>0</v>
      </c>
      <c r="F323">
        <v>1.1499999999999999</v>
      </c>
      <c r="G323">
        <v>5.15</v>
      </c>
      <c r="H323">
        <v>1.1499999999999999</v>
      </c>
      <c r="I323">
        <v>0</v>
      </c>
      <c r="J323">
        <v>-1.42096467794253</v>
      </c>
      <c r="K323">
        <v>-1.3068436130325201</v>
      </c>
      <c r="L323">
        <v>12.0685465568805</v>
      </c>
      <c r="M323">
        <v>68.850306698646506</v>
      </c>
      <c r="N323">
        <v>0.14445166340035001</v>
      </c>
      <c r="O323">
        <v>4.1887902090290998</v>
      </c>
      <c r="P323">
        <v>-0.95692470093762205</v>
      </c>
      <c r="Q323">
        <v>9.7524168389301895</v>
      </c>
      <c r="R323">
        <v>12.561322938523</v>
      </c>
      <c r="S323">
        <v>7.5154664058956602</v>
      </c>
      <c r="T323">
        <v>12.5461872131446</v>
      </c>
      <c r="U323">
        <v>-0.13994005452886499</v>
      </c>
      <c r="V323">
        <v>0.944525729546138</v>
      </c>
      <c r="W323">
        <v>2</v>
      </c>
      <c r="X323">
        <v>-163.49825430634701</v>
      </c>
      <c r="Y323">
        <v>1</v>
      </c>
    </row>
    <row r="324" spans="1:25" x14ac:dyDescent="0.25">
      <c r="A324">
        <v>174</v>
      </c>
      <c r="B324">
        <v>2</v>
      </c>
      <c r="C324" s="1">
        <v>1000000</v>
      </c>
      <c r="D324">
        <v>1</v>
      </c>
      <c r="E324">
        <v>0</v>
      </c>
      <c r="F324">
        <v>1.175</v>
      </c>
      <c r="G324">
        <v>5.1749999999999998</v>
      </c>
      <c r="H324">
        <v>1.175</v>
      </c>
      <c r="I324">
        <v>0</v>
      </c>
      <c r="J324">
        <v>-1.32780184060207</v>
      </c>
      <c r="K324">
        <v>-1.27984938883635</v>
      </c>
      <c r="L324">
        <v>12.269017671352101</v>
      </c>
      <c r="M324">
        <v>69.194493965169798</v>
      </c>
      <c r="N324">
        <v>0.32843409177910099</v>
      </c>
      <c r="O324">
        <v>4.1887906603820202</v>
      </c>
      <c r="P324">
        <v>-0.91573687845448004</v>
      </c>
      <c r="Q324">
        <v>9.8257561698449294</v>
      </c>
      <c r="R324">
        <v>12.5613244726978</v>
      </c>
      <c r="S324">
        <v>7.6599073898839798</v>
      </c>
      <c r="T324">
        <v>12.5461933424468</v>
      </c>
      <c r="U324">
        <v>-0.33718208503167102</v>
      </c>
      <c r="V324">
        <v>0.92795120515075402</v>
      </c>
      <c r="W324">
        <v>2</v>
      </c>
      <c r="X324">
        <v>-158.536054925488</v>
      </c>
      <c r="Y324">
        <v>1</v>
      </c>
    </row>
    <row r="325" spans="1:25" x14ac:dyDescent="0.25">
      <c r="A325">
        <v>174</v>
      </c>
      <c r="B325">
        <v>2</v>
      </c>
      <c r="C325" s="1">
        <v>1000000</v>
      </c>
      <c r="D325">
        <v>1</v>
      </c>
      <c r="E325">
        <v>0</v>
      </c>
      <c r="F325">
        <v>1.2</v>
      </c>
      <c r="G325">
        <v>5.2</v>
      </c>
      <c r="H325">
        <v>1.2</v>
      </c>
      <c r="I325">
        <v>0</v>
      </c>
      <c r="J325">
        <v>-1.27498071384635</v>
      </c>
      <c r="K325">
        <v>-1.2266309890213101</v>
      </c>
      <c r="L325">
        <v>12.473455744209399</v>
      </c>
      <c r="M325">
        <v>69.374227263686393</v>
      </c>
      <c r="N325">
        <v>0.35970375503894297</v>
      </c>
      <c r="O325">
        <v>4.1887902784609503</v>
      </c>
      <c r="P325">
        <v>-0.875166698001689</v>
      </c>
      <c r="Q325">
        <v>9.8075606640743498</v>
      </c>
      <c r="R325">
        <v>12.5613239238803</v>
      </c>
      <c r="S325">
        <v>7.6350946376126299</v>
      </c>
      <c r="T325">
        <v>12.5461911498322</v>
      </c>
      <c r="U325">
        <v>-0.38032519862015102</v>
      </c>
      <c r="V325">
        <v>0.90854747808014102</v>
      </c>
      <c r="W325">
        <v>2</v>
      </c>
      <c r="X325">
        <v>-164.74983203155401</v>
      </c>
      <c r="Y325">
        <v>1</v>
      </c>
    </row>
    <row r="326" spans="1:25" x14ac:dyDescent="0.25">
      <c r="A326">
        <v>174</v>
      </c>
      <c r="B326">
        <v>2</v>
      </c>
      <c r="C326" s="1">
        <v>1000000</v>
      </c>
      <c r="D326">
        <v>1</v>
      </c>
      <c r="E326">
        <v>0</v>
      </c>
      <c r="F326">
        <v>1.2250000000000001</v>
      </c>
      <c r="G326">
        <v>5.2249999999999996</v>
      </c>
      <c r="H326">
        <v>1.2250000000000001</v>
      </c>
      <c r="I326">
        <v>0</v>
      </c>
      <c r="J326">
        <v>-1.2239033601206599</v>
      </c>
      <c r="K326">
        <v>-1.1694416092033</v>
      </c>
      <c r="L326">
        <v>12.671140926957101</v>
      </c>
      <c r="M326">
        <v>69.509114733850694</v>
      </c>
      <c r="N326">
        <v>0.389873778064527</v>
      </c>
      <c r="O326">
        <v>4.1887905811218404</v>
      </c>
      <c r="P326">
        <v>-0.83557578014911804</v>
      </c>
      <c r="Q326">
        <v>9.7660210510937908</v>
      </c>
      <c r="R326">
        <v>12.56132454916</v>
      </c>
      <c r="S326">
        <v>7.5720135912880302</v>
      </c>
      <c r="T326">
        <v>12.5461936479263</v>
      </c>
      <c r="U326">
        <v>-0.438002654490937</v>
      </c>
      <c r="V326">
        <v>0.89051857083663999</v>
      </c>
      <c r="W326">
        <v>2</v>
      </c>
      <c r="X326">
        <v>-159.57021759423699</v>
      </c>
      <c r="Y326">
        <v>1</v>
      </c>
    </row>
    <row r="327" spans="1:25" x14ac:dyDescent="0.25">
      <c r="A327">
        <v>174</v>
      </c>
      <c r="B327">
        <v>2</v>
      </c>
      <c r="C327" s="1">
        <v>1000000</v>
      </c>
      <c r="D327">
        <v>1</v>
      </c>
      <c r="E327">
        <v>0</v>
      </c>
      <c r="F327">
        <v>1.25</v>
      </c>
      <c r="G327">
        <v>5.25</v>
      </c>
      <c r="H327">
        <v>1.25</v>
      </c>
      <c r="I327">
        <v>0</v>
      </c>
      <c r="J327">
        <v>-1.1754373353674299</v>
      </c>
      <c r="K327">
        <v>-1.1037763153217199</v>
      </c>
      <c r="L327">
        <v>12.865425013771</v>
      </c>
      <c r="M327">
        <v>69.630664609947402</v>
      </c>
      <c r="N327">
        <v>1.5674309110972801E-2</v>
      </c>
      <c r="O327">
        <v>4.1887902047871703</v>
      </c>
      <c r="P327">
        <v>-0.78923802965433398</v>
      </c>
      <c r="Q327">
        <v>9.7252821706368007</v>
      </c>
      <c r="R327">
        <v>12.561324608695699</v>
      </c>
      <c r="S327">
        <v>7.4992107631882599</v>
      </c>
      <c r="T327">
        <v>12.546193885782699</v>
      </c>
      <c r="U327">
        <v>-0.55692957121612696</v>
      </c>
      <c r="V327">
        <v>0.86911026642661404</v>
      </c>
      <c r="W327">
        <v>2</v>
      </c>
      <c r="X327">
        <v>-155.38350076869801</v>
      </c>
      <c r="Y327">
        <v>1</v>
      </c>
    </row>
    <row r="328" spans="1:25" x14ac:dyDescent="0.25">
      <c r="A328">
        <v>174</v>
      </c>
      <c r="B328">
        <v>2</v>
      </c>
      <c r="C328" s="1">
        <v>1000000</v>
      </c>
      <c r="D328">
        <v>1</v>
      </c>
      <c r="E328">
        <v>0</v>
      </c>
      <c r="F328">
        <v>1.2749999999999999</v>
      </c>
      <c r="G328">
        <v>5.2750000000000004</v>
      </c>
      <c r="H328">
        <v>1.2749999999999999</v>
      </c>
      <c r="I328">
        <v>0</v>
      </c>
      <c r="J328">
        <v>-0.100153180432315</v>
      </c>
      <c r="K328">
        <v>0</v>
      </c>
      <c r="L328">
        <v>14.930707679566201</v>
      </c>
      <c r="M328">
        <v>64.265183558078704</v>
      </c>
      <c r="N328">
        <v>1.45128814345349E-4</v>
      </c>
      <c r="O328">
        <v>4.1887902047863497</v>
      </c>
      <c r="P328">
        <v>0.456977414616005</v>
      </c>
      <c r="Q328">
        <v>2.5885828861001898</v>
      </c>
      <c r="R328">
        <v>12.5613246233194</v>
      </c>
      <c r="S328">
        <v>2.8710478331692199E-2</v>
      </c>
      <c r="T328">
        <v>12.546193944206999</v>
      </c>
      <c r="U328">
        <v>3.0104839005526702E-3</v>
      </c>
      <c r="V328">
        <v>1.39404357187021E-3</v>
      </c>
      <c r="W328">
        <v>2</v>
      </c>
      <c r="X328">
        <v>149.19166708070301</v>
      </c>
      <c r="Y328">
        <v>1</v>
      </c>
    </row>
    <row r="329" spans="1:25" x14ac:dyDescent="0.25">
      <c r="A329">
        <v>174</v>
      </c>
      <c r="B329">
        <v>2</v>
      </c>
      <c r="C329" s="1">
        <v>1000000</v>
      </c>
      <c r="D329">
        <v>1</v>
      </c>
      <c r="E329">
        <v>0</v>
      </c>
      <c r="F329">
        <v>1.3</v>
      </c>
      <c r="G329">
        <v>5.3</v>
      </c>
      <c r="H329">
        <v>1.3</v>
      </c>
      <c r="I329">
        <v>0</v>
      </c>
      <c r="J329">
        <v>-0.22795349782209501</v>
      </c>
      <c r="K329">
        <v>0</v>
      </c>
      <c r="L329">
        <v>15.059006094478599</v>
      </c>
      <c r="M329">
        <v>64.363738326358202</v>
      </c>
      <c r="N329">
        <v>2.21672458109086E-4</v>
      </c>
      <c r="O329">
        <v>4.1887902047863399</v>
      </c>
      <c r="P329">
        <v>0.37993265351045002</v>
      </c>
      <c r="Q329">
        <v>0.259658071299741</v>
      </c>
      <c r="R329">
        <v>12.561324626528</v>
      </c>
      <c r="S329" s="1">
        <v>3.7517364520197203E-5</v>
      </c>
      <c r="T329">
        <v>12.5461939570261</v>
      </c>
      <c r="U329">
        <v>-6.4260681135746997E-2</v>
      </c>
      <c r="V329">
        <v>5.2555020294360198E-4</v>
      </c>
      <c r="W329">
        <v>2</v>
      </c>
      <c r="X329">
        <v>152.05207803551201</v>
      </c>
      <c r="Y32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83"/>
  <sheetViews>
    <sheetView topLeftCell="E76" workbookViewId="0"/>
  </sheetViews>
  <sheetFormatPr defaultRowHeight="15" x14ac:dyDescent="0.25"/>
  <cols>
    <col min="1" max="2" width="4" customWidth="1"/>
    <col min="3" max="3" width="8.5703125" customWidth="1"/>
    <col min="4" max="5" width="2" customWidth="1"/>
    <col min="6" max="8" width="8" customWidth="1"/>
    <col min="9" max="9" width="2" customWidth="1"/>
    <col min="10" max="11" width="12.7109375" customWidth="1"/>
    <col min="12" max="12" width="12" customWidth="1"/>
    <col min="13" max="15" width="12" bestFit="1" customWidth="1"/>
    <col min="16" max="16" width="12.7109375" customWidth="1"/>
    <col min="17" max="17" width="12" customWidth="1"/>
    <col min="18" max="18" width="12" bestFit="1" customWidth="1"/>
    <col min="19" max="19" width="12" customWidth="1"/>
    <col min="20" max="20" width="12" bestFit="1" customWidth="1"/>
    <col min="21" max="22" width="12" customWidth="1"/>
    <col min="23" max="23" width="8" customWidth="1"/>
    <col min="24" max="24" width="12" customWidth="1"/>
    <col min="25" max="25" width="2" customWidth="1"/>
  </cols>
  <sheetData>
    <row r="1" spans="1:25" x14ac:dyDescent="0.25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0</v>
      </c>
      <c r="G1" t="s">
        <v>22</v>
      </c>
      <c r="H1" t="s">
        <v>23</v>
      </c>
      <c r="I1" t="s">
        <v>24</v>
      </c>
      <c r="J1" t="s">
        <v>16</v>
      </c>
      <c r="K1" t="s">
        <v>25</v>
      </c>
      <c r="L1" t="s">
        <v>26</v>
      </c>
      <c r="M1" t="s">
        <v>27</v>
      </c>
      <c r="N1" t="s">
        <v>28</v>
      </c>
      <c r="O1" t="s">
        <v>15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36</v>
      </c>
      <c r="X1" t="s">
        <v>37</v>
      </c>
      <c r="Y1" t="s">
        <v>38</v>
      </c>
    </row>
    <row r="2" spans="1:25" x14ac:dyDescent="0.25">
      <c r="A2">
        <v>24</v>
      </c>
      <c r="B2">
        <v>1.5</v>
      </c>
      <c r="C2" s="1">
        <v>1000000</v>
      </c>
      <c r="D2">
        <v>1</v>
      </c>
      <c r="E2">
        <v>0</v>
      </c>
      <c r="F2">
        <v>0.60899999999999999</v>
      </c>
      <c r="G2">
        <v>3.609</v>
      </c>
      <c r="H2">
        <v>0.60899999999999999</v>
      </c>
      <c r="I2">
        <v>0</v>
      </c>
      <c r="J2">
        <v>1.6563612792968601</v>
      </c>
      <c r="K2">
        <v>1.66299410795495</v>
      </c>
      <c r="L2">
        <v>11.7442824316167</v>
      </c>
      <c r="M2">
        <v>34.869361921280401</v>
      </c>
      <c r="N2">
        <v>0.19408309387146799</v>
      </c>
      <c r="O2">
        <v>4.1887902235459604</v>
      </c>
      <c r="P2">
        <v>2.7126052021704199</v>
      </c>
      <c r="Q2">
        <v>7.9687510130674797</v>
      </c>
      <c r="R2">
        <v>9.42099334256757</v>
      </c>
      <c r="S2">
        <v>5.0468395366332501</v>
      </c>
      <c r="T2">
        <v>7.0572337193023698</v>
      </c>
      <c r="U2">
        <v>7.1704509595068994E-2</v>
      </c>
      <c r="V2">
        <v>1.26669630117257</v>
      </c>
      <c r="W2">
        <v>1.5358099999999999</v>
      </c>
      <c r="X2">
        <v>70.239541745640096</v>
      </c>
      <c r="Y2">
        <v>1</v>
      </c>
    </row>
    <row r="3" spans="1:25" x14ac:dyDescent="0.25">
      <c r="A3">
        <v>24</v>
      </c>
      <c r="B3">
        <v>1.5</v>
      </c>
      <c r="C3" s="1">
        <v>1000000</v>
      </c>
      <c r="D3">
        <v>1</v>
      </c>
      <c r="E3">
        <v>0</v>
      </c>
      <c r="F3">
        <v>0.60975000000000001</v>
      </c>
      <c r="G3">
        <v>3.60975</v>
      </c>
      <c r="H3">
        <v>0.60975000000000001</v>
      </c>
      <c r="I3">
        <v>0</v>
      </c>
      <c r="J3">
        <v>1.6435399959050301</v>
      </c>
      <c r="K3">
        <v>1.65038124702463</v>
      </c>
      <c r="L3">
        <v>11.7365057389967</v>
      </c>
      <c r="M3">
        <v>34.874570924577597</v>
      </c>
      <c r="N3">
        <v>0.20760933679994001</v>
      </c>
      <c r="O3">
        <v>4.1887902261559402</v>
      </c>
      <c r="P3">
        <v>2.70361220634536</v>
      </c>
      <c r="Q3">
        <v>7.9575203187733301</v>
      </c>
      <c r="R3">
        <v>9.4209933576879905</v>
      </c>
      <c r="S3">
        <v>5.0326249719843004</v>
      </c>
      <c r="T3">
        <v>7.05723376460893</v>
      </c>
      <c r="U3">
        <v>7.1852765575273397E-2</v>
      </c>
      <c r="V3">
        <v>1.2649199340806401</v>
      </c>
      <c r="W3">
        <v>1.5351900000000001</v>
      </c>
      <c r="X3">
        <v>70.474414760906896</v>
      </c>
      <c r="Y3">
        <v>1</v>
      </c>
    </row>
    <row r="4" spans="1:25" x14ac:dyDescent="0.25">
      <c r="A4">
        <v>24</v>
      </c>
      <c r="B4">
        <v>1.5</v>
      </c>
      <c r="C4" s="1">
        <v>1000000</v>
      </c>
      <c r="D4">
        <v>1</v>
      </c>
      <c r="E4">
        <v>0</v>
      </c>
      <c r="F4">
        <v>0.61050000000000004</v>
      </c>
      <c r="G4">
        <v>3.6105</v>
      </c>
      <c r="H4">
        <v>0.61050000000000004</v>
      </c>
      <c r="I4">
        <v>0</v>
      </c>
      <c r="J4">
        <v>1.63127397586985</v>
      </c>
      <c r="K4">
        <v>1.63786493911051</v>
      </c>
      <c r="L4">
        <v>11.7287869371567</v>
      </c>
      <c r="M4">
        <v>34.879786358155798</v>
      </c>
      <c r="N4">
        <v>0.234568761444367</v>
      </c>
      <c r="O4">
        <v>4.1887902279916904</v>
      </c>
      <c r="P4">
        <v>2.69466126536989</v>
      </c>
      <c r="Q4">
        <v>7.9463185837868799</v>
      </c>
      <c r="R4">
        <v>9.4209933657261207</v>
      </c>
      <c r="S4">
        <v>5.0184667141410602</v>
      </c>
      <c r="T4">
        <v>7.05723378869427</v>
      </c>
      <c r="U4">
        <v>7.1956153826139693E-2</v>
      </c>
      <c r="V4">
        <v>1.26314914736317</v>
      </c>
      <c r="W4">
        <v>1.5346</v>
      </c>
      <c r="X4">
        <v>70.714722024007898</v>
      </c>
      <c r="Y4">
        <v>1</v>
      </c>
    </row>
    <row r="5" spans="1:25" x14ac:dyDescent="0.25">
      <c r="A5">
        <v>24</v>
      </c>
      <c r="B5">
        <v>1.5</v>
      </c>
      <c r="C5" s="1">
        <v>1000000</v>
      </c>
      <c r="D5">
        <v>1</v>
      </c>
      <c r="E5">
        <v>0</v>
      </c>
      <c r="F5">
        <v>0.61124999999999996</v>
      </c>
      <c r="G5">
        <v>3.6112500000000001</v>
      </c>
      <c r="H5">
        <v>0.61124999999999996</v>
      </c>
      <c r="I5">
        <v>0</v>
      </c>
      <c r="J5">
        <v>1.61907153922213</v>
      </c>
      <c r="K5">
        <v>1.6252571064771899</v>
      </c>
      <c r="L5">
        <v>11.7211395558791</v>
      </c>
      <c r="M5">
        <v>34.885295627076196</v>
      </c>
      <c r="N5">
        <v>0.19206610126430301</v>
      </c>
      <c r="O5">
        <v>4.1887902088316897</v>
      </c>
      <c r="P5">
        <v>2.6856630986574999</v>
      </c>
      <c r="Q5">
        <v>7.9349666419174003</v>
      </c>
      <c r="R5">
        <v>9.4209934390325696</v>
      </c>
      <c r="S5">
        <v>5.0040652058616697</v>
      </c>
      <c r="T5">
        <v>7.0572340083483702</v>
      </c>
      <c r="U5">
        <v>7.2262568997463195E-2</v>
      </c>
      <c r="V5">
        <v>1.2612722546190001</v>
      </c>
      <c r="W5">
        <v>1.5339400000000001</v>
      </c>
      <c r="X5">
        <v>71.003128467635506</v>
      </c>
      <c r="Y5">
        <v>1</v>
      </c>
    </row>
    <row r="6" spans="1:25" x14ac:dyDescent="0.25">
      <c r="A6">
        <v>24</v>
      </c>
      <c r="B6">
        <v>1.5</v>
      </c>
      <c r="C6" s="1">
        <v>1000000</v>
      </c>
      <c r="D6">
        <v>1</v>
      </c>
      <c r="E6">
        <v>0</v>
      </c>
      <c r="F6">
        <v>0.61199999999999999</v>
      </c>
      <c r="G6">
        <v>3.6120000000000001</v>
      </c>
      <c r="H6">
        <v>0.61199999999999999</v>
      </c>
      <c r="I6">
        <v>0</v>
      </c>
      <c r="J6">
        <v>1.6067782099549499</v>
      </c>
      <c r="K6">
        <v>1.6129209620418501</v>
      </c>
      <c r="L6">
        <v>11.713536836006901</v>
      </c>
      <c r="M6">
        <v>34.890555708006303</v>
      </c>
      <c r="N6">
        <v>0.19370402632172501</v>
      </c>
      <c r="O6">
        <v>4.1887902083793502</v>
      </c>
      <c r="P6">
        <v>2.6767968565235098</v>
      </c>
      <c r="Q6">
        <v>7.9237886948147001</v>
      </c>
      <c r="R6">
        <v>9.4209934428469708</v>
      </c>
      <c r="S6">
        <v>4.9899851279195904</v>
      </c>
      <c r="T6">
        <v>7.0572340197777601</v>
      </c>
      <c r="U6">
        <v>7.2371952451851601E-2</v>
      </c>
      <c r="V6">
        <v>1.25951312390044</v>
      </c>
      <c r="W6">
        <v>1.5333600000000001</v>
      </c>
      <c r="X6">
        <v>71.240967494615902</v>
      </c>
      <c r="Y6">
        <v>1</v>
      </c>
    </row>
    <row r="7" spans="1:25" x14ac:dyDescent="0.25">
      <c r="A7">
        <v>24</v>
      </c>
      <c r="B7">
        <v>1.5</v>
      </c>
      <c r="C7" s="1">
        <v>1000000</v>
      </c>
      <c r="D7">
        <v>1</v>
      </c>
      <c r="E7">
        <v>0</v>
      </c>
      <c r="F7">
        <v>0.61275000000000002</v>
      </c>
      <c r="G7">
        <v>3.6127500000000001</v>
      </c>
      <c r="H7">
        <v>0.61275000000000002</v>
      </c>
      <c r="I7">
        <v>0</v>
      </c>
      <c r="J7">
        <v>1.5945441170344601</v>
      </c>
      <c r="K7">
        <v>1.60066924707688</v>
      </c>
      <c r="L7">
        <v>11.7059917728079</v>
      </c>
      <c r="M7">
        <v>34.8958481202569</v>
      </c>
      <c r="N7">
        <v>0.19379221714606101</v>
      </c>
      <c r="O7">
        <v>4.1887902079226702</v>
      </c>
      <c r="P7">
        <v>2.6679726538632802</v>
      </c>
      <c r="Q7">
        <v>7.9126164722885299</v>
      </c>
      <c r="R7">
        <v>9.4209934460922398</v>
      </c>
      <c r="S7">
        <v>4.9759327696066098</v>
      </c>
      <c r="T7">
        <v>7.0572340295018501</v>
      </c>
      <c r="U7">
        <v>7.2481377258119997E-2</v>
      </c>
      <c r="V7">
        <v>1.25775401968212</v>
      </c>
      <c r="W7">
        <v>1.53278</v>
      </c>
      <c r="X7">
        <v>71.477381679452193</v>
      </c>
      <c r="Y7">
        <v>1</v>
      </c>
    </row>
    <row r="8" spans="1:25" x14ac:dyDescent="0.25">
      <c r="A8">
        <v>24</v>
      </c>
      <c r="B8">
        <v>1.5</v>
      </c>
      <c r="C8" s="1">
        <v>1000000</v>
      </c>
      <c r="D8">
        <v>1</v>
      </c>
      <c r="E8">
        <v>0</v>
      </c>
      <c r="F8">
        <v>0.61350000000000005</v>
      </c>
      <c r="G8">
        <v>3.6135000000000002</v>
      </c>
      <c r="H8">
        <v>0.61350000000000005</v>
      </c>
      <c r="I8">
        <v>0</v>
      </c>
      <c r="J8">
        <v>1.58236212357865</v>
      </c>
      <c r="K8">
        <v>1.5884998955123699</v>
      </c>
      <c r="L8">
        <v>11.6985040609968</v>
      </c>
      <c r="M8">
        <v>34.901174068052299</v>
      </c>
      <c r="N8">
        <v>0.19226314299749001</v>
      </c>
      <c r="O8">
        <v>4.1887902074655896</v>
      </c>
      <c r="P8">
        <v>2.6591892105547101</v>
      </c>
      <c r="Q8">
        <v>7.9014493151335401</v>
      </c>
      <c r="R8">
        <v>9.4209934490243601</v>
      </c>
      <c r="S8">
        <v>4.9619064794032601</v>
      </c>
      <c r="T8">
        <v>7.0572340382876098</v>
      </c>
      <c r="U8">
        <v>7.2594526220678496E-2</v>
      </c>
      <c r="V8">
        <v>1.25599665620835</v>
      </c>
      <c r="W8">
        <v>1.5322</v>
      </c>
      <c r="X8">
        <v>71.712518401763305</v>
      </c>
      <c r="Y8">
        <v>1</v>
      </c>
    </row>
    <row r="9" spans="1:25" x14ac:dyDescent="0.25">
      <c r="A9">
        <v>24</v>
      </c>
      <c r="B9">
        <v>1.5</v>
      </c>
      <c r="C9" s="1">
        <v>1000000</v>
      </c>
      <c r="D9">
        <v>1</v>
      </c>
      <c r="E9">
        <v>0</v>
      </c>
      <c r="F9">
        <v>0.61424999999999996</v>
      </c>
      <c r="G9">
        <v>3.6142500000000002</v>
      </c>
      <c r="H9">
        <v>0.61424999999999996</v>
      </c>
      <c r="I9">
        <v>0</v>
      </c>
      <c r="J9">
        <v>1.5702244254958599</v>
      </c>
      <c r="K9">
        <v>1.57641017190017</v>
      </c>
      <c r="L9">
        <v>11.6910730833128</v>
      </c>
      <c r="M9">
        <v>34.906538735808503</v>
      </c>
      <c r="N9">
        <v>0.18765121271607699</v>
      </c>
      <c r="O9">
        <v>4.1887902070060203</v>
      </c>
      <c r="P9">
        <v>2.6504465596739601</v>
      </c>
      <c r="Q9">
        <v>7.8902825859469701</v>
      </c>
      <c r="R9">
        <v>9.4209934513035503</v>
      </c>
      <c r="S9">
        <v>4.9478999054832196</v>
      </c>
      <c r="T9">
        <v>7.0572340451169602</v>
      </c>
      <c r="U9">
        <v>7.2711978339402697E-2</v>
      </c>
      <c r="V9">
        <v>1.2542379413206</v>
      </c>
      <c r="W9">
        <v>1.53163</v>
      </c>
      <c r="X9">
        <v>71.946849753480507</v>
      </c>
      <c r="Y9">
        <v>1</v>
      </c>
    </row>
    <row r="10" spans="1:25" x14ac:dyDescent="0.25">
      <c r="A10">
        <v>24</v>
      </c>
      <c r="B10">
        <v>1.5</v>
      </c>
      <c r="C10" s="1">
        <v>1000000</v>
      </c>
      <c r="D10">
        <v>1</v>
      </c>
      <c r="E10">
        <v>0</v>
      </c>
      <c r="F10">
        <v>0.61499999999999999</v>
      </c>
      <c r="G10">
        <v>3.6150000000000002</v>
      </c>
      <c r="H10">
        <v>0.61499999999999999</v>
      </c>
      <c r="I10">
        <v>0</v>
      </c>
      <c r="J10">
        <v>1.5581980237855699</v>
      </c>
      <c r="K10">
        <v>1.5644021859317701</v>
      </c>
      <c r="L10">
        <v>11.6836989672824</v>
      </c>
      <c r="M10">
        <v>34.911935767110997</v>
      </c>
      <c r="N10">
        <v>0.178141615366044</v>
      </c>
      <c r="O10">
        <v>4.1887902066025102</v>
      </c>
      <c r="P10">
        <v>2.6417445102997701</v>
      </c>
      <c r="Q10">
        <v>7.8791220080129802</v>
      </c>
      <c r="R10">
        <v>9.4209934537043107</v>
      </c>
      <c r="S10">
        <v>4.9339201479445798</v>
      </c>
      <c r="T10">
        <v>7.0572340523105499</v>
      </c>
      <c r="U10">
        <v>7.2834304724701801E-2</v>
      </c>
      <c r="V10">
        <v>1.2524841631311201</v>
      </c>
      <c r="W10">
        <v>1.53105</v>
      </c>
      <c r="X10">
        <v>72.179511750506194</v>
      </c>
      <c r="Y10">
        <v>1</v>
      </c>
    </row>
    <row r="11" spans="1:25" x14ac:dyDescent="0.25">
      <c r="A11">
        <v>24</v>
      </c>
      <c r="B11">
        <v>1.5</v>
      </c>
      <c r="C11" s="1">
        <v>1000000</v>
      </c>
      <c r="D11">
        <v>1</v>
      </c>
      <c r="E11">
        <v>0</v>
      </c>
      <c r="F11">
        <v>0.61575000000000002</v>
      </c>
      <c r="G11">
        <v>3.6157499999999998</v>
      </c>
      <c r="H11">
        <v>0.61575000000000002</v>
      </c>
      <c r="I11">
        <v>0</v>
      </c>
      <c r="J11">
        <v>1.54636525509244</v>
      </c>
      <c r="K11">
        <v>1.5523551340245201</v>
      </c>
      <c r="L11">
        <v>11.676375994495</v>
      </c>
      <c r="M11">
        <v>34.917545377244501</v>
      </c>
      <c r="N11">
        <v>0.153100102844834</v>
      </c>
      <c r="O11">
        <v>4.1887902059436</v>
      </c>
      <c r="P11">
        <v>2.6330264011181699</v>
      </c>
      <c r="Q11">
        <v>7.8678249148094697</v>
      </c>
      <c r="R11">
        <v>9.4209934580180104</v>
      </c>
      <c r="S11">
        <v>4.9197636826901103</v>
      </c>
      <c r="T11">
        <v>7.0572340652360301</v>
      </c>
      <c r="U11">
        <v>7.3098032799519E-2</v>
      </c>
      <c r="V11">
        <v>1.2507778580937501</v>
      </c>
      <c r="W11">
        <v>1.53047</v>
      </c>
      <c r="X11">
        <v>72.381416717463296</v>
      </c>
      <c r="Y11">
        <v>1</v>
      </c>
    </row>
    <row r="12" spans="1:25" x14ac:dyDescent="0.25">
      <c r="A12">
        <v>24</v>
      </c>
      <c r="B12">
        <v>1.5</v>
      </c>
      <c r="C12" s="1">
        <v>1000000</v>
      </c>
      <c r="D12">
        <v>1</v>
      </c>
      <c r="E12">
        <v>0</v>
      </c>
      <c r="F12">
        <v>0.61650000000000005</v>
      </c>
      <c r="G12">
        <v>3.6164999999999998</v>
      </c>
      <c r="H12">
        <v>0.61650000000000005</v>
      </c>
      <c r="I12">
        <v>0</v>
      </c>
      <c r="J12">
        <v>1.5345221862083001</v>
      </c>
      <c r="K12">
        <v>1.5405071487769399</v>
      </c>
      <c r="L12">
        <v>11.669113779079799</v>
      </c>
      <c r="M12">
        <v>34.923004703891102</v>
      </c>
      <c r="N12">
        <v>0.145927724471412</v>
      </c>
      <c r="O12">
        <v>4.1887902057835404</v>
      </c>
      <c r="P12">
        <v>2.6244018771916</v>
      </c>
      <c r="Q12">
        <v>7.8566787698824401</v>
      </c>
      <c r="R12">
        <v>9.4209934589854694</v>
      </c>
      <c r="S12">
        <v>4.9058382190934902</v>
      </c>
      <c r="T12">
        <v>7.0572340681349504</v>
      </c>
      <c r="U12">
        <v>7.3218793183801201E-2</v>
      </c>
      <c r="V12">
        <v>1.2490224797549301</v>
      </c>
      <c r="W12">
        <v>1.52989</v>
      </c>
      <c r="X12">
        <v>72.612896778399602</v>
      </c>
      <c r="Y12">
        <v>1</v>
      </c>
    </row>
    <row r="13" spans="1:25" x14ac:dyDescent="0.25">
      <c r="A13">
        <v>24</v>
      </c>
      <c r="B13">
        <v>1.5</v>
      </c>
      <c r="C13" s="1">
        <v>1000000</v>
      </c>
      <c r="D13">
        <v>1</v>
      </c>
      <c r="E13">
        <v>0</v>
      </c>
      <c r="F13">
        <v>0.61724999999999997</v>
      </c>
      <c r="G13">
        <v>3.6172499999999999</v>
      </c>
      <c r="H13">
        <v>0.61724999999999997</v>
      </c>
      <c r="I13">
        <v>0</v>
      </c>
      <c r="J13">
        <v>1.52268603566672</v>
      </c>
      <c r="K13">
        <v>1.52869758502606</v>
      </c>
      <c r="L13">
        <v>11.661895329596501</v>
      </c>
      <c r="M13">
        <v>34.928514403623502</v>
      </c>
      <c r="N13">
        <v>0.17971660902990999</v>
      </c>
      <c r="O13">
        <v>4.1887902057090596</v>
      </c>
      <c r="P13">
        <v>2.61577733581252</v>
      </c>
      <c r="Q13">
        <v>7.8454828186742098</v>
      </c>
      <c r="R13">
        <v>9.4209934546159992</v>
      </c>
      <c r="S13">
        <v>4.8919055055419403</v>
      </c>
      <c r="T13">
        <v>7.0572340550423203</v>
      </c>
      <c r="U13">
        <v>7.32096825869962E-2</v>
      </c>
      <c r="V13">
        <v>1.2472795887814501</v>
      </c>
      <c r="W13">
        <v>1.5293600000000001</v>
      </c>
      <c r="X13">
        <v>72.793843813830605</v>
      </c>
      <c r="Y13">
        <v>1</v>
      </c>
    </row>
    <row r="14" spans="1:25" x14ac:dyDescent="0.25">
      <c r="A14">
        <v>24</v>
      </c>
      <c r="B14">
        <v>1.5</v>
      </c>
      <c r="C14" s="1">
        <v>1000000</v>
      </c>
      <c r="D14">
        <v>1</v>
      </c>
      <c r="E14">
        <v>0</v>
      </c>
      <c r="F14">
        <v>0.61799999999999999</v>
      </c>
      <c r="G14">
        <v>3.6179999999999999</v>
      </c>
      <c r="H14">
        <v>0.61799999999999999</v>
      </c>
      <c r="I14">
        <v>0</v>
      </c>
      <c r="J14">
        <v>1.5109935049801</v>
      </c>
      <c r="K14">
        <v>1.51696313741954</v>
      </c>
      <c r="L14">
        <v>11.654713920279301</v>
      </c>
      <c r="M14">
        <v>34.933878743098703</v>
      </c>
      <c r="N14">
        <v>0.205088541689396</v>
      </c>
      <c r="O14">
        <v>4.1887902110323898</v>
      </c>
      <c r="P14">
        <v>2.60713529599589</v>
      </c>
      <c r="Q14">
        <v>7.83478588957085</v>
      </c>
      <c r="R14">
        <v>9.4209933820187501</v>
      </c>
      <c r="S14">
        <v>4.8781722329646398</v>
      </c>
      <c r="T14">
        <v>7.05723383751263</v>
      </c>
      <c r="U14">
        <v>7.3035242248425905E-2</v>
      </c>
      <c r="V14">
        <v>1.2452857281255201</v>
      </c>
      <c r="W14">
        <v>1.5288900000000001</v>
      </c>
      <c r="X14">
        <v>72.804881638290794</v>
      </c>
      <c r="Y14">
        <v>1</v>
      </c>
    </row>
    <row r="15" spans="1:25" x14ac:dyDescent="0.25">
      <c r="A15">
        <v>24</v>
      </c>
      <c r="B15">
        <v>1.5</v>
      </c>
      <c r="C15" s="1">
        <v>1000000</v>
      </c>
      <c r="D15">
        <v>1</v>
      </c>
      <c r="E15">
        <v>0</v>
      </c>
      <c r="F15">
        <v>0.61875000000000002</v>
      </c>
      <c r="G15">
        <v>3.6187499999999999</v>
      </c>
      <c r="H15">
        <v>0.61875000000000002</v>
      </c>
      <c r="I15">
        <v>0</v>
      </c>
      <c r="J15">
        <v>1.4994549882011601</v>
      </c>
      <c r="K15">
        <v>1.50538149093141</v>
      </c>
      <c r="L15">
        <v>11.647618500187701</v>
      </c>
      <c r="M15">
        <v>34.939377197255297</v>
      </c>
      <c r="N15">
        <v>0.238526719718792</v>
      </c>
      <c r="O15">
        <v>4.1887902109313098</v>
      </c>
      <c r="P15">
        <v>2.5986387954868002</v>
      </c>
      <c r="Q15">
        <v>7.8237178388891699</v>
      </c>
      <c r="R15">
        <v>9.4209933916703594</v>
      </c>
      <c r="S15">
        <v>4.8643865463858704</v>
      </c>
      <c r="T15">
        <v>7.0572338664326502</v>
      </c>
      <c r="U15">
        <v>7.32103445507679E-2</v>
      </c>
      <c r="V15">
        <v>1.2435164838711401</v>
      </c>
      <c r="W15">
        <v>1.5283100000000001</v>
      </c>
      <c r="X15">
        <v>73.039377757157894</v>
      </c>
      <c r="Y15">
        <v>1</v>
      </c>
    </row>
    <row r="16" spans="1:25" x14ac:dyDescent="0.25">
      <c r="A16">
        <v>24</v>
      </c>
      <c r="B16">
        <v>1.5</v>
      </c>
      <c r="C16" s="1">
        <v>1000000</v>
      </c>
      <c r="D16">
        <v>1</v>
      </c>
      <c r="E16">
        <v>0</v>
      </c>
      <c r="F16">
        <v>0.61950000000000005</v>
      </c>
      <c r="G16">
        <v>3.6194999999999999</v>
      </c>
      <c r="H16">
        <v>0.61950000000000005</v>
      </c>
      <c r="I16">
        <v>0</v>
      </c>
      <c r="J16">
        <v>1.4880545175318101</v>
      </c>
      <c r="K16">
        <v>1.49388243488772</v>
      </c>
      <c r="L16">
        <v>11.6405768118289</v>
      </c>
      <c r="M16">
        <v>34.9448614100098</v>
      </c>
      <c r="N16">
        <v>0.23600212300600601</v>
      </c>
      <c r="O16">
        <v>4.1887902104096</v>
      </c>
      <c r="P16">
        <v>2.5901636295172601</v>
      </c>
      <c r="Q16">
        <v>7.8126780731511101</v>
      </c>
      <c r="R16">
        <v>9.4209933974075799</v>
      </c>
      <c r="S16">
        <v>4.8506752528168198</v>
      </c>
      <c r="T16">
        <v>7.0572338836236002</v>
      </c>
      <c r="U16">
        <v>7.3331673870831504E-2</v>
      </c>
      <c r="V16">
        <v>1.2417609557849301</v>
      </c>
      <c r="W16">
        <v>1.52773</v>
      </c>
      <c r="X16">
        <v>73.268523021850598</v>
      </c>
      <c r="Y16">
        <v>1</v>
      </c>
    </row>
    <row r="17" spans="1:25" x14ac:dyDescent="0.25">
      <c r="A17">
        <v>24</v>
      </c>
      <c r="B17">
        <v>1.5</v>
      </c>
      <c r="C17" s="1">
        <v>1000000</v>
      </c>
      <c r="D17">
        <v>1</v>
      </c>
      <c r="E17">
        <v>0</v>
      </c>
      <c r="F17">
        <v>0.62024999999999997</v>
      </c>
      <c r="G17">
        <v>3.62025</v>
      </c>
      <c r="H17">
        <v>0.62024999999999997</v>
      </c>
      <c r="I17">
        <v>0</v>
      </c>
      <c r="J17">
        <v>1.4768648082267599</v>
      </c>
      <c r="K17">
        <v>1.48242052474999</v>
      </c>
      <c r="L17">
        <v>11.6335897952331</v>
      </c>
      <c r="M17">
        <v>34.950467160332202</v>
      </c>
      <c r="N17">
        <v>0.206000897483235</v>
      </c>
      <c r="O17">
        <v>4.1887902080285997</v>
      </c>
      <c r="P17">
        <v>2.5817212487007901</v>
      </c>
      <c r="Q17">
        <v>7.8015614163695703</v>
      </c>
      <c r="R17">
        <v>9.4209934145615204</v>
      </c>
      <c r="S17">
        <v>4.83689080209514</v>
      </c>
      <c r="T17">
        <v>7.0572339350234898</v>
      </c>
      <c r="U17">
        <v>7.3521791701269101E-2</v>
      </c>
      <c r="V17">
        <v>1.2399958302974201</v>
      </c>
      <c r="W17">
        <v>1.52715</v>
      </c>
      <c r="X17">
        <v>73.515738303642394</v>
      </c>
      <c r="Y17">
        <v>1</v>
      </c>
    </row>
    <row r="18" spans="1:25" x14ac:dyDescent="0.25">
      <c r="A18">
        <v>24</v>
      </c>
      <c r="B18">
        <v>1.5</v>
      </c>
      <c r="C18" s="1">
        <v>1000000</v>
      </c>
      <c r="D18">
        <v>1</v>
      </c>
      <c r="E18">
        <v>0</v>
      </c>
      <c r="F18">
        <v>0.621</v>
      </c>
      <c r="G18">
        <v>3.621</v>
      </c>
      <c r="H18">
        <v>0.621</v>
      </c>
      <c r="I18">
        <v>0</v>
      </c>
      <c r="J18">
        <v>1.4654034006741601</v>
      </c>
      <c r="K18">
        <v>1.47107022904795</v>
      </c>
      <c r="L18">
        <v>11.6266565829344</v>
      </c>
      <c r="M18">
        <v>34.956054712318299</v>
      </c>
      <c r="N18">
        <v>0.21955667062640599</v>
      </c>
      <c r="O18">
        <v>4.18879020830801</v>
      </c>
      <c r="P18">
        <v>2.57333809940183</v>
      </c>
      <c r="Q18">
        <v>7.7904935371171504</v>
      </c>
      <c r="R18">
        <v>9.4209934172892495</v>
      </c>
      <c r="S18">
        <v>4.8231851232681899</v>
      </c>
      <c r="T18">
        <v>7.0572339431968301</v>
      </c>
      <c r="U18">
        <v>7.3620891246553605E-2</v>
      </c>
      <c r="V18">
        <v>1.23825249748783</v>
      </c>
      <c r="W18">
        <v>1.52658</v>
      </c>
      <c r="X18">
        <v>73.739526374978993</v>
      </c>
      <c r="Y18">
        <v>1</v>
      </c>
    </row>
    <row r="19" spans="1:25" x14ac:dyDescent="0.25">
      <c r="A19">
        <v>24</v>
      </c>
      <c r="B19">
        <v>1.5</v>
      </c>
      <c r="C19" s="1">
        <v>1000000</v>
      </c>
      <c r="D19">
        <v>1</v>
      </c>
      <c r="E19">
        <v>0</v>
      </c>
      <c r="F19">
        <v>0.62175000000000002</v>
      </c>
      <c r="G19">
        <v>3.62175</v>
      </c>
      <c r="H19">
        <v>0.62175000000000002</v>
      </c>
      <c r="I19">
        <v>0</v>
      </c>
      <c r="J19">
        <v>1.4542202218253399</v>
      </c>
      <c r="K19">
        <v>1.4598514591745999</v>
      </c>
      <c r="L19">
        <v>11.6197698939243</v>
      </c>
      <c r="M19">
        <v>34.9615009913731</v>
      </c>
      <c r="N19">
        <v>0.246808185911574</v>
      </c>
      <c r="O19">
        <v>4.1887902088616098</v>
      </c>
      <c r="P19">
        <v>2.56497313081737</v>
      </c>
      <c r="Q19">
        <v>7.7794691356382399</v>
      </c>
      <c r="R19">
        <v>9.4209933700819803</v>
      </c>
      <c r="S19">
        <v>4.8096848469366096</v>
      </c>
      <c r="T19">
        <v>7.0572338017466301</v>
      </c>
      <c r="U19">
        <v>7.3644847763654597E-2</v>
      </c>
      <c r="V19">
        <v>1.2365582162105899</v>
      </c>
      <c r="W19">
        <v>1.52596</v>
      </c>
      <c r="X19">
        <v>73.930646374469006</v>
      </c>
      <c r="Y19">
        <v>1</v>
      </c>
    </row>
    <row r="20" spans="1:25" x14ac:dyDescent="0.25">
      <c r="A20">
        <v>24</v>
      </c>
      <c r="B20">
        <v>1.5</v>
      </c>
      <c r="C20" s="1">
        <v>1000000</v>
      </c>
      <c r="D20">
        <v>1</v>
      </c>
      <c r="E20">
        <v>0</v>
      </c>
      <c r="F20">
        <v>0.62250000000000005</v>
      </c>
      <c r="G20">
        <v>3.6225000000000001</v>
      </c>
      <c r="H20">
        <v>0.62250000000000005</v>
      </c>
      <c r="I20">
        <v>0</v>
      </c>
      <c r="J20">
        <v>1.44304604380491</v>
      </c>
      <c r="K20">
        <v>1.44866471705361</v>
      </c>
      <c r="L20">
        <v>11.612941219698399</v>
      </c>
      <c r="M20">
        <v>34.967086543440999</v>
      </c>
      <c r="N20">
        <v>0.233138507146086</v>
      </c>
      <c r="O20">
        <v>4.1887902090209703</v>
      </c>
      <c r="P20">
        <v>2.5566503012400901</v>
      </c>
      <c r="Q20">
        <v>7.7684440122591099</v>
      </c>
      <c r="R20">
        <v>9.4209933692935905</v>
      </c>
      <c r="S20">
        <v>4.7960957737324001</v>
      </c>
      <c r="T20">
        <v>7.0572337993843002</v>
      </c>
      <c r="U20">
        <v>7.3701665768570998E-2</v>
      </c>
      <c r="V20">
        <v>1.2348272775198701</v>
      </c>
      <c r="W20">
        <v>1.5254300000000001</v>
      </c>
      <c r="X20">
        <v>74.157971899947199</v>
      </c>
      <c r="Y20">
        <v>1</v>
      </c>
    </row>
    <row r="21" spans="1:25" x14ac:dyDescent="0.25">
      <c r="A21">
        <v>24</v>
      </c>
      <c r="B21">
        <v>1.5</v>
      </c>
      <c r="C21" s="1">
        <v>1000000</v>
      </c>
      <c r="D21">
        <v>1</v>
      </c>
      <c r="E21">
        <v>0</v>
      </c>
      <c r="F21">
        <v>0.62324999999999997</v>
      </c>
      <c r="G21">
        <v>3.6232500000000001</v>
      </c>
      <c r="H21">
        <v>0.62324999999999997</v>
      </c>
      <c r="I21">
        <v>0</v>
      </c>
      <c r="J21">
        <v>1.4316925595405501</v>
      </c>
      <c r="K21">
        <v>1.4375742150712201</v>
      </c>
      <c r="L21">
        <v>11.606165017668999</v>
      </c>
      <c r="M21">
        <v>34.972682564650597</v>
      </c>
      <c r="N21">
        <v>0.205005933484461</v>
      </c>
      <c r="O21">
        <v>4.1887902088117501</v>
      </c>
      <c r="P21">
        <v>2.5483834816479898</v>
      </c>
      <c r="Q21">
        <v>7.7574349748901597</v>
      </c>
      <c r="R21">
        <v>9.4209933686792002</v>
      </c>
      <c r="S21">
        <v>4.7825526787670603</v>
      </c>
      <c r="T21">
        <v>7.0572337975433497</v>
      </c>
      <c r="U21">
        <v>7.3767709611624599E-2</v>
      </c>
      <c r="V21">
        <v>1.2331040408866401</v>
      </c>
      <c r="W21">
        <v>1.52491</v>
      </c>
      <c r="X21">
        <v>74.380469610470698</v>
      </c>
      <c r="Y21">
        <v>1</v>
      </c>
    </row>
    <row r="22" spans="1:25" x14ac:dyDescent="0.25">
      <c r="A22">
        <v>24</v>
      </c>
      <c r="B22">
        <v>1.5</v>
      </c>
      <c r="C22" s="1">
        <v>1000000</v>
      </c>
      <c r="D22">
        <v>1</v>
      </c>
      <c r="E22">
        <v>0</v>
      </c>
      <c r="F22">
        <v>0.624</v>
      </c>
      <c r="G22">
        <v>3.6240000000000001</v>
      </c>
      <c r="H22">
        <v>0.624</v>
      </c>
      <c r="I22">
        <v>0</v>
      </c>
      <c r="J22">
        <v>1.4209608796534501</v>
      </c>
      <c r="K22">
        <v>1.4264581104654599</v>
      </c>
      <c r="L22">
        <v>11.599442419306</v>
      </c>
      <c r="M22">
        <v>34.9786155368732</v>
      </c>
      <c r="N22">
        <v>0.21201214192256801</v>
      </c>
      <c r="O22">
        <v>4.1887902075186298</v>
      </c>
      <c r="P22">
        <v>2.5401807100331601</v>
      </c>
      <c r="Q22">
        <v>7.7461859409820297</v>
      </c>
      <c r="R22">
        <v>9.4209933714642897</v>
      </c>
      <c r="S22">
        <v>4.7686994312706004</v>
      </c>
      <c r="T22">
        <v>7.0572338058884698</v>
      </c>
      <c r="U22">
        <v>7.3927017107601106E-2</v>
      </c>
      <c r="V22">
        <v>1.2313470256725001</v>
      </c>
      <c r="W22">
        <v>1.5244</v>
      </c>
      <c r="X22">
        <v>74.605940205231704</v>
      </c>
      <c r="Y22">
        <v>1</v>
      </c>
    </row>
    <row r="23" spans="1:25" x14ac:dyDescent="0.25">
      <c r="A23">
        <v>24</v>
      </c>
      <c r="B23">
        <v>1.5</v>
      </c>
      <c r="C23" s="1">
        <v>1000000</v>
      </c>
      <c r="D23">
        <v>1</v>
      </c>
      <c r="E23">
        <v>0</v>
      </c>
      <c r="F23">
        <v>0.62475000000000003</v>
      </c>
      <c r="G23">
        <v>3.6247500000000001</v>
      </c>
      <c r="H23">
        <v>0.62475000000000003</v>
      </c>
      <c r="I23">
        <v>0</v>
      </c>
      <c r="J23">
        <v>1.4099355378803899</v>
      </c>
      <c r="K23">
        <v>1.4154370330752399</v>
      </c>
      <c r="L23">
        <v>11.5927712749424</v>
      </c>
      <c r="M23">
        <v>34.984514996980501</v>
      </c>
      <c r="N23">
        <v>0.14422447683419601</v>
      </c>
      <c r="O23">
        <v>4.1887902069058498</v>
      </c>
      <c r="P23">
        <v>2.53201076291719</v>
      </c>
      <c r="Q23">
        <v>7.7349903731941501</v>
      </c>
      <c r="R23">
        <v>9.4209933720490806</v>
      </c>
      <c r="S23">
        <v>4.7549391828815901</v>
      </c>
      <c r="T23">
        <v>7.05723380764063</v>
      </c>
      <c r="U23">
        <v>7.4087143688123996E-2</v>
      </c>
      <c r="V23">
        <v>1.2296026430351299</v>
      </c>
      <c r="W23">
        <v>1.5239</v>
      </c>
      <c r="X23">
        <v>74.828070595077605</v>
      </c>
      <c r="Y23">
        <v>1</v>
      </c>
    </row>
    <row r="24" spans="1:25" x14ac:dyDescent="0.25">
      <c r="A24">
        <v>24</v>
      </c>
      <c r="B24">
        <v>1.5</v>
      </c>
      <c r="C24" s="1">
        <v>1000000</v>
      </c>
      <c r="D24">
        <v>1</v>
      </c>
      <c r="E24">
        <v>0</v>
      </c>
      <c r="F24">
        <v>0.62549999999999994</v>
      </c>
      <c r="G24">
        <v>3.6255000000000002</v>
      </c>
      <c r="H24">
        <v>0.62549999999999994</v>
      </c>
      <c r="I24">
        <v>0</v>
      </c>
      <c r="J24">
        <v>1.3991101688887999</v>
      </c>
      <c r="K24">
        <v>1.4045413349398801</v>
      </c>
      <c r="L24">
        <v>11.586150507826799</v>
      </c>
      <c r="M24">
        <v>34.990286849279599</v>
      </c>
      <c r="N24">
        <v>0.15159111865101699</v>
      </c>
      <c r="O24">
        <v>4.1887902069102303</v>
      </c>
      <c r="P24">
        <v>2.5238671454371602</v>
      </c>
      <c r="Q24">
        <v>7.7239266061819798</v>
      </c>
      <c r="R24">
        <v>9.4209933715735303</v>
      </c>
      <c r="S24">
        <v>4.7413737604283597</v>
      </c>
      <c r="T24">
        <v>7.0572338062156703</v>
      </c>
      <c r="U24">
        <v>7.4168883277164005E-2</v>
      </c>
      <c r="V24">
        <v>1.22786999252206</v>
      </c>
      <c r="W24">
        <v>1.5234000000000001</v>
      </c>
      <c r="X24">
        <v>75.046975418118606</v>
      </c>
      <c r="Y24">
        <v>1</v>
      </c>
    </row>
    <row r="25" spans="1:25" x14ac:dyDescent="0.25">
      <c r="A25">
        <v>24</v>
      </c>
      <c r="B25">
        <v>1.5</v>
      </c>
      <c r="C25" s="1">
        <v>1000000</v>
      </c>
      <c r="D25">
        <v>1</v>
      </c>
      <c r="E25">
        <v>0</v>
      </c>
      <c r="F25">
        <v>0.62624999999999997</v>
      </c>
      <c r="G25">
        <v>3.6262500000000002</v>
      </c>
      <c r="H25">
        <v>0.62624999999999997</v>
      </c>
      <c r="I25">
        <v>0</v>
      </c>
      <c r="J25">
        <v>1.38824992490308</v>
      </c>
      <c r="K25">
        <v>1.3936814820939301</v>
      </c>
      <c r="L25">
        <v>11.579581212466501</v>
      </c>
      <c r="M25">
        <v>34.996211989714098</v>
      </c>
      <c r="N25">
        <v>0.17632741626155601</v>
      </c>
      <c r="O25">
        <v>4.1887902077165204</v>
      </c>
      <c r="P25">
        <v>2.5157750340787</v>
      </c>
      <c r="Q25">
        <v>7.7127616239682002</v>
      </c>
      <c r="R25">
        <v>9.4209933699341306</v>
      </c>
      <c r="S25">
        <v>4.7276968814157696</v>
      </c>
      <c r="T25">
        <v>7.05723380130331</v>
      </c>
      <c r="U25">
        <v>7.42800882195125E-2</v>
      </c>
      <c r="V25">
        <v>1.22612904983934</v>
      </c>
      <c r="W25">
        <v>1.52291</v>
      </c>
      <c r="X25">
        <v>75.262855067108106</v>
      </c>
      <c r="Y25">
        <v>1</v>
      </c>
    </row>
    <row r="26" spans="1:25" x14ac:dyDescent="0.25">
      <c r="A26">
        <v>24</v>
      </c>
      <c r="B26">
        <v>1.5</v>
      </c>
      <c r="C26" s="1">
        <v>1000000</v>
      </c>
      <c r="D26">
        <v>1</v>
      </c>
      <c r="E26">
        <v>0</v>
      </c>
      <c r="F26">
        <v>0.627</v>
      </c>
      <c r="G26">
        <v>3.6269999999999998</v>
      </c>
      <c r="H26">
        <v>0.627</v>
      </c>
      <c r="I26">
        <v>0</v>
      </c>
      <c r="J26">
        <v>1.3776663691018101</v>
      </c>
      <c r="K26">
        <v>1.3829310446536101</v>
      </c>
      <c r="L26">
        <v>11.5730621331388</v>
      </c>
      <c r="M26">
        <v>35.002057929797203</v>
      </c>
      <c r="N26">
        <v>0.168956834633889</v>
      </c>
      <c r="O26">
        <v>4.18879020729511</v>
      </c>
      <c r="P26">
        <v>2.5077144679999601</v>
      </c>
      <c r="Q26">
        <v>7.7016896526132097</v>
      </c>
      <c r="R26">
        <v>9.4209933684954201</v>
      </c>
      <c r="S26">
        <v>4.7141616666406696</v>
      </c>
      <c r="T26">
        <v>7.0572337969923504</v>
      </c>
      <c r="U26">
        <v>7.4364706310365999E-2</v>
      </c>
      <c r="V26">
        <v>1.2243986374101801</v>
      </c>
      <c r="W26">
        <v>1.52241</v>
      </c>
      <c r="X26">
        <v>75.476296329237201</v>
      </c>
      <c r="Y26">
        <v>1</v>
      </c>
    </row>
    <row r="27" spans="1:25" x14ac:dyDescent="0.25">
      <c r="A27">
        <v>24</v>
      </c>
      <c r="B27">
        <v>1.5</v>
      </c>
      <c r="C27" s="1">
        <v>1000000</v>
      </c>
      <c r="D27">
        <v>1</v>
      </c>
      <c r="E27">
        <v>0</v>
      </c>
      <c r="F27">
        <v>0.62775000000000003</v>
      </c>
      <c r="G27">
        <v>3.6277499999999998</v>
      </c>
      <c r="H27">
        <v>0.62775000000000003</v>
      </c>
      <c r="I27">
        <v>0</v>
      </c>
      <c r="J27">
        <v>1.36703312328272</v>
      </c>
      <c r="K27">
        <v>1.3722673830666401</v>
      </c>
      <c r="L27">
        <v>11.5665930383072</v>
      </c>
      <c r="M27">
        <v>35.007898952081298</v>
      </c>
      <c r="N27">
        <v>0.17191541796247201</v>
      </c>
      <c r="O27">
        <v>4.1887902070545504</v>
      </c>
      <c r="P27">
        <v>2.4996943764972599</v>
      </c>
      <c r="Q27">
        <v>7.6906507255381999</v>
      </c>
      <c r="R27">
        <v>9.4209933669469699</v>
      </c>
      <c r="S27">
        <v>4.7006865433066496</v>
      </c>
      <c r="T27">
        <v>7.0572337923525597</v>
      </c>
      <c r="U27">
        <v>7.4442064563123106E-2</v>
      </c>
      <c r="V27">
        <v>1.2226702002780001</v>
      </c>
      <c r="W27">
        <v>1.5219100000000001</v>
      </c>
      <c r="X27">
        <v>75.691907314791607</v>
      </c>
      <c r="Y27">
        <v>1</v>
      </c>
    </row>
    <row r="28" spans="1:25" x14ac:dyDescent="0.25">
      <c r="A28">
        <v>24</v>
      </c>
      <c r="B28">
        <v>1.5</v>
      </c>
      <c r="C28" s="1">
        <v>1000000</v>
      </c>
      <c r="D28">
        <v>1</v>
      </c>
      <c r="E28">
        <v>0</v>
      </c>
      <c r="F28">
        <v>0.62849999999999995</v>
      </c>
      <c r="G28">
        <v>3.6284999999999998</v>
      </c>
      <c r="H28">
        <v>0.62849999999999995</v>
      </c>
      <c r="I28">
        <v>0</v>
      </c>
      <c r="J28">
        <v>1.3563345221538201</v>
      </c>
      <c r="K28">
        <v>1.3616848392674601</v>
      </c>
      <c r="L28">
        <v>11.5601737962904</v>
      </c>
      <c r="M28">
        <v>35.013749285309899</v>
      </c>
      <c r="N28">
        <v>0.18250057049767399</v>
      </c>
      <c r="O28">
        <v>4.1887902069686298</v>
      </c>
      <c r="P28">
        <v>2.49171522240903</v>
      </c>
      <c r="Q28">
        <v>7.6796337827565901</v>
      </c>
      <c r="R28">
        <v>9.4209933654613902</v>
      </c>
      <c r="S28">
        <v>4.6872558047194</v>
      </c>
      <c r="T28">
        <v>7.05723378790114</v>
      </c>
      <c r="U28">
        <v>7.4520275021667998E-2</v>
      </c>
      <c r="V28">
        <v>1.2209415177224701</v>
      </c>
      <c r="W28">
        <v>1.5214099999999999</v>
      </c>
      <c r="X28">
        <v>75.908619152144098</v>
      </c>
      <c r="Y28">
        <v>1</v>
      </c>
    </row>
    <row r="29" spans="1:25" x14ac:dyDescent="0.25">
      <c r="A29">
        <v>24</v>
      </c>
      <c r="B29">
        <v>1.5</v>
      </c>
      <c r="C29" s="1">
        <v>1000000</v>
      </c>
      <c r="D29">
        <v>1</v>
      </c>
      <c r="E29">
        <v>0</v>
      </c>
      <c r="F29">
        <v>0.62924999999999998</v>
      </c>
      <c r="G29">
        <v>3.6292499999999999</v>
      </c>
      <c r="H29">
        <v>0.62924999999999998</v>
      </c>
      <c r="I29">
        <v>0</v>
      </c>
      <c r="J29">
        <v>1.3458899180013999</v>
      </c>
      <c r="K29">
        <v>1.3511256148648201</v>
      </c>
      <c r="L29">
        <v>11.5538047615343</v>
      </c>
      <c r="M29">
        <v>35.019767543291799</v>
      </c>
      <c r="N29">
        <v>0.16473951873875001</v>
      </c>
      <c r="O29">
        <v>4.1887902069077896</v>
      </c>
      <c r="P29">
        <v>2.48378053090835</v>
      </c>
      <c r="Q29">
        <v>7.6685075589523803</v>
      </c>
      <c r="R29">
        <v>9.4209933628045608</v>
      </c>
      <c r="S29">
        <v>4.6736962017964299</v>
      </c>
      <c r="T29">
        <v>7.0572337799401703</v>
      </c>
      <c r="U29">
        <v>7.46108188852556E-2</v>
      </c>
      <c r="V29">
        <v>1.2192002735326299</v>
      </c>
      <c r="W29">
        <v>1.52092</v>
      </c>
      <c r="X29">
        <v>76.117460138083402</v>
      </c>
      <c r="Y29">
        <v>1</v>
      </c>
    </row>
    <row r="30" spans="1:25" x14ac:dyDescent="0.25">
      <c r="A30">
        <v>24</v>
      </c>
      <c r="B30">
        <v>1.5</v>
      </c>
      <c r="C30" s="1">
        <v>1000000</v>
      </c>
      <c r="D30">
        <v>1</v>
      </c>
      <c r="E30">
        <v>0</v>
      </c>
      <c r="F30">
        <v>0.63</v>
      </c>
      <c r="G30">
        <v>3.63</v>
      </c>
      <c r="H30">
        <v>0.63</v>
      </c>
      <c r="I30">
        <v>0</v>
      </c>
      <c r="J30">
        <v>1.3355244811062501</v>
      </c>
      <c r="K30">
        <v>1.3406172934223299</v>
      </c>
      <c r="L30">
        <v>11.5474848451524</v>
      </c>
      <c r="M30">
        <v>35.025873353603501</v>
      </c>
      <c r="N30">
        <v>0.18773133320792501</v>
      </c>
      <c r="O30">
        <v>4.18879020746727</v>
      </c>
      <c r="P30">
        <v>2.4758870552423602</v>
      </c>
      <c r="Q30">
        <v>7.65734015267725</v>
      </c>
      <c r="R30">
        <v>9.4209933585901204</v>
      </c>
      <c r="S30">
        <v>4.6600945244015097</v>
      </c>
      <c r="T30">
        <v>7.0572337673119598</v>
      </c>
      <c r="U30">
        <v>7.4704788326505706E-2</v>
      </c>
      <c r="V30">
        <v>1.2174460838575101</v>
      </c>
      <c r="W30">
        <v>1.5204299999999999</v>
      </c>
      <c r="X30">
        <v>76.322983197792297</v>
      </c>
      <c r="Y30">
        <v>1</v>
      </c>
    </row>
    <row r="31" spans="1:25" x14ac:dyDescent="0.25">
      <c r="A31">
        <v>24</v>
      </c>
      <c r="B31">
        <v>1.5</v>
      </c>
      <c r="C31" s="1">
        <v>1000000</v>
      </c>
      <c r="D31">
        <v>1</v>
      </c>
      <c r="E31">
        <v>0</v>
      </c>
      <c r="F31">
        <v>0.63075000000000003</v>
      </c>
      <c r="G31">
        <v>3.6307499999999999</v>
      </c>
      <c r="H31">
        <v>0.63075000000000003</v>
      </c>
      <c r="I31">
        <v>0</v>
      </c>
      <c r="J31">
        <v>1.3251962968465301</v>
      </c>
      <c r="K31">
        <v>1.33022541987851</v>
      </c>
      <c r="L31">
        <v>11.541213419854699</v>
      </c>
      <c r="M31">
        <v>35.031853861117803</v>
      </c>
      <c r="N31">
        <v>0.16251492574635201</v>
      </c>
      <c r="O31">
        <v>4.1887902070196699</v>
      </c>
      <c r="P31">
        <v>2.46801494996045</v>
      </c>
      <c r="Q31">
        <v>7.64630032263769</v>
      </c>
      <c r="R31">
        <v>9.4209933558301895</v>
      </c>
      <c r="S31">
        <v>4.64668309192386</v>
      </c>
      <c r="T31">
        <v>7.0572337590420702</v>
      </c>
      <c r="U31">
        <v>7.4781478969128803E-2</v>
      </c>
      <c r="V31">
        <v>1.2157067218412501</v>
      </c>
      <c r="W31">
        <v>1.5199199999999999</v>
      </c>
      <c r="X31">
        <v>76.535775764437901</v>
      </c>
      <c r="Y31">
        <v>1</v>
      </c>
    </row>
    <row r="32" spans="1:25" x14ac:dyDescent="0.25">
      <c r="A32">
        <v>24</v>
      </c>
      <c r="B32">
        <v>1.5</v>
      </c>
      <c r="C32" s="1">
        <v>1000000</v>
      </c>
      <c r="D32">
        <v>1</v>
      </c>
      <c r="E32">
        <v>0</v>
      </c>
      <c r="F32">
        <v>0.63149999999999995</v>
      </c>
      <c r="G32">
        <v>3.6315</v>
      </c>
      <c r="H32">
        <v>0.63149999999999995</v>
      </c>
      <c r="I32">
        <v>0</v>
      </c>
      <c r="J32">
        <v>1.31557931288518</v>
      </c>
      <c r="K32">
        <v>1.31984967035106</v>
      </c>
      <c r="L32">
        <v>11.534991520905599</v>
      </c>
      <c r="M32">
        <v>35.038060635679898</v>
      </c>
      <c r="N32">
        <v>0.23167050120730601</v>
      </c>
      <c r="O32">
        <v>4.18879020764148</v>
      </c>
      <c r="P32">
        <v>2.4602081075542901</v>
      </c>
      <c r="Q32">
        <v>7.63510370869104</v>
      </c>
      <c r="R32">
        <v>9.4209933490109297</v>
      </c>
      <c r="S32">
        <v>4.6330781828758996</v>
      </c>
      <c r="T32">
        <v>7.0572337386087796</v>
      </c>
      <c r="U32">
        <v>7.4907388068443603E-2</v>
      </c>
      <c r="V32">
        <v>1.21394796431028</v>
      </c>
      <c r="W32">
        <v>1.5194700000000001</v>
      </c>
      <c r="X32">
        <v>76.742762167239604</v>
      </c>
      <c r="Y32">
        <v>1</v>
      </c>
    </row>
    <row r="33" spans="1:25" x14ac:dyDescent="0.25">
      <c r="A33">
        <v>24</v>
      </c>
      <c r="B33">
        <v>1.5</v>
      </c>
      <c r="C33" s="1">
        <v>1000000</v>
      </c>
      <c r="D33">
        <v>1</v>
      </c>
      <c r="E33">
        <v>0</v>
      </c>
      <c r="F33">
        <v>0.63224999999999998</v>
      </c>
      <c r="G33">
        <v>3.63225</v>
      </c>
      <c r="H33">
        <v>0.63224999999999998</v>
      </c>
      <c r="I33">
        <v>0</v>
      </c>
      <c r="J33">
        <v>1.3051449102558901</v>
      </c>
      <c r="K33">
        <v>1.30955054470698</v>
      </c>
      <c r="L33">
        <v>11.5288166796177</v>
      </c>
      <c r="M33">
        <v>35.044271167262202</v>
      </c>
      <c r="N33">
        <v>0.18860117324388401</v>
      </c>
      <c r="O33">
        <v>4.1887902067999203</v>
      </c>
      <c r="P33">
        <v>2.4524365258362</v>
      </c>
      <c r="Q33">
        <v>7.6239319207422502</v>
      </c>
      <c r="R33">
        <v>9.4209933429831594</v>
      </c>
      <c r="S33">
        <v>4.61952066797335</v>
      </c>
      <c r="T33">
        <v>7.0572337205471198</v>
      </c>
      <c r="U33">
        <v>7.5052962259734596E-2</v>
      </c>
      <c r="V33">
        <v>1.2121794266609001</v>
      </c>
      <c r="W33">
        <v>1.51901</v>
      </c>
      <c r="X33">
        <v>76.952960206406303</v>
      </c>
      <c r="Y33">
        <v>1</v>
      </c>
    </row>
    <row r="34" spans="1:25" x14ac:dyDescent="0.25">
      <c r="A34">
        <v>24</v>
      </c>
      <c r="B34">
        <v>1.5</v>
      </c>
      <c r="C34" s="1">
        <v>1000000</v>
      </c>
      <c r="D34">
        <v>1</v>
      </c>
      <c r="E34">
        <v>0</v>
      </c>
      <c r="F34">
        <v>0.63300000000000001</v>
      </c>
      <c r="G34">
        <v>3.633</v>
      </c>
      <c r="H34">
        <v>0.63300000000000001</v>
      </c>
      <c r="I34">
        <v>0</v>
      </c>
      <c r="J34">
        <v>1.2949877948862001</v>
      </c>
      <c r="K34">
        <v>1.2993532155226899</v>
      </c>
      <c r="L34">
        <v>11.522691816722499</v>
      </c>
      <c r="M34">
        <v>35.050435760673203</v>
      </c>
      <c r="N34">
        <v>0.194629228858683</v>
      </c>
      <c r="O34">
        <v>4.1887902066980898</v>
      </c>
      <c r="P34">
        <v>2.4447082394495601</v>
      </c>
      <c r="Q34">
        <v>7.6128270758666998</v>
      </c>
      <c r="R34">
        <v>9.4209933363004907</v>
      </c>
      <c r="S34">
        <v>4.60606815163296</v>
      </c>
      <c r="T34">
        <v>7.0572337005231498</v>
      </c>
      <c r="U34">
        <v>7.5225452267481299E-2</v>
      </c>
      <c r="V34">
        <v>1.2104325497075601</v>
      </c>
      <c r="W34">
        <v>1.51857</v>
      </c>
      <c r="X34">
        <v>77.160129108816705</v>
      </c>
      <c r="Y34">
        <v>1</v>
      </c>
    </row>
    <row r="35" spans="1:25" x14ac:dyDescent="0.25">
      <c r="A35">
        <v>24</v>
      </c>
      <c r="B35">
        <v>1.5</v>
      </c>
      <c r="C35" s="1">
        <v>1000000</v>
      </c>
      <c r="D35">
        <v>1</v>
      </c>
      <c r="E35">
        <v>0</v>
      </c>
      <c r="F35">
        <v>0.63375000000000004</v>
      </c>
      <c r="G35">
        <v>3.63375</v>
      </c>
      <c r="H35">
        <v>0.63375000000000004</v>
      </c>
      <c r="I35">
        <v>0</v>
      </c>
      <c r="J35">
        <v>1.28550075199161</v>
      </c>
      <c r="K35">
        <v>1.28924652695632</v>
      </c>
      <c r="L35">
        <v>11.516613290824701</v>
      </c>
      <c r="M35">
        <v>35.056591155674603</v>
      </c>
      <c r="N35">
        <v>0.23601034722764999</v>
      </c>
      <c r="O35">
        <v>4.1887902067644598</v>
      </c>
      <c r="P35">
        <v>2.4370291216620799</v>
      </c>
      <c r="Q35">
        <v>7.6017527184725902</v>
      </c>
      <c r="R35">
        <v>9.4209933299900896</v>
      </c>
      <c r="S35">
        <v>4.5926764346889399</v>
      </c>
      <c r="T35">
        <v>7.0572336816146297</v>
      </c>
      <c r="U35">
        <v>7.5366986049673595E-2</v>
      </c>
      <c r="V35">
        <v>1.2086899206075801</v>
      </c>
      <c r="W35">
        <v>1.51813</v>
      </c>
      <c r="X35">
        <v>77.364845419475898</v>
      </c>
      <c r="Y35">
        <v>1</v>
      </c>
    </row>
    <row r="36" spans="1:25" x14ac:dyDescent="0.25">
      <c r="A36">
        <v>24</v>
      </c>
      <c r="B36">
        <v>1.5</v>
      </c>
      <c r="C36" s="1">
        <v>1000000</v>
      </c>
      <c r="D36">
        <v>1</v>
      </c>
      <c r="E36">
        <v>0</v>
      </c>
      <c r="F36">
        <v>0.63449999999999995</v>
      </c>
      <c r="G36">
        <v>3.6345000000000001</v>
      </c>
      <c r="H36">
        <v>0.63449999999999995</v>
      </c>
      <c r="I36">
        <v>0</v>
      </c>
      <c r="J36">
        <v>1.2746590209545099</v>
      </c>
      <c r="K36">
        <v>1.2792130826582999</v>
      </c>
      <c r="L36">
        <v>11.510581513539901</v>
      </c>
      <c r="M36">
        <v>35.0627357529997</v>
      </c>
      <c r="N36">
        <v>0.22508950972917799</v>
      </c>
      <c r="O36">
        <v>4.1887902064168099</v>
      </c>
      <c r="P36">
        <v>2.42937517945473</v>
      </c>
      <c r="Q36">
        <v>7.5907121681337699</v>
      </c>
      <c r="R36">
        <v>9.4209933235079006</v>
      </c>
      <c r="S36">
        <v>4.5793476963195401</v>
      </c>
      <c r="T36">
        <v>7.05723366219138</v>
      </c>
      <c r="U36">
        <v>7.5497467905038002E-2</v>
      </c>
      <c r="V36">
        <v>1.2069548557666201</v>
      </c>
      <c r="W36">
        <v>1.5177</v>
      </c>
      <c r="X36">
        <v>77.568007754989196</v>
      </c>
      <c r="Y36">
        <v>1</v>
      </c>
    </row>
    <row r="37" spans="1:25" x14ac:dyDescent="0.25">
      <c r="A37">
        <v>24</v>
      </c>
      <c r="B37">
        <v>1.5</v>
      </c>
      <c r="C37" s="1">
        <v>1000000</v>
      </c>
      <c r="D37">
        <v>1</v>
      </c>
      <c r="E37">
        <v>0</v>
      </c>
      <c r="F37">
        <v>0.63524999999999998</v>
      </c>
      <c r="G37">
        <v>3.6352500000000001</v>
      </c>
      <c r="H37">
        <v>0.63524999999999998</v>
      </c>
      <c r="I37">
        <v>0</v>
      </c>
      <c r="J37">
        <v>1.26511359311239</v>
      </c>
      <c r="K37">
        <v>1.26922546796929</v>
      </c>
      <c r="L37">
        <v>11.5045969011988</v>
      </c>
      <c r="M37">
        <v>35.068985165846499</v>
      </c>
      <c r="N37">
        <v>0.182859447510092</v>
      </c>
      <c r="O37">
        <v>4.1887902059780098</v>
      </c>
      <c r="P37">
        <v>2.42176764541155</v>
      </c>
      <c r="Q37">
        <v>7.5796104671203404</v>
      </c>
      <c r="R37">
        <v>9.4209933142367301</v>
      </c>
      <c r="S37">
        <v>4.5659558422180302</v>
      </c>
      <c r="T37">
        <v>7.0572336344111797</v>
      </c>
      <c r="U37">
        <v>7.5650580824528704E-2</v>
      </c>
      <c r="V37">
        <v>1.2052231218007401</v>
      </c>
      <c r="W37">
        <v>1.5172699999999999</v>
      </c>
      <c r="X37">
        <v>77.768354305862005</v>
      </c>
      <c r="Y37">
        <v>1</v>
      </c>
    </row>
    <row r="38" spans="1:25" x14ac:dyDescent="0.25">
      <c r="A38">
        <v>24</v>
      </c>
      <c r="B38">
        <v>1.5</v>
      </c>
      <c r="C38" s="1">
        <v>1000000</v>
      </c>
      <c r="D38">
        <v>1</v>
      </c>
      <c r="E38">
        <v>0</v>
      </c>
      <c r="F38">
        <v>0.63600000000000001</v>
      </c>
      <c r="G38">
        <v>3.6360000000000001</v>
      </c>
      <c r="H38">
        <v>0.63600000000000001</v>
      </c>
      <c r="I38">
        <v>0</v>
      </c>
      <c r="J38">
        <v>1.2555345010073</v>
      </c>
      <c r="K38">
        <v>1.2593383132713201</v>
      </c>
      <c r="L38">
        <v>11.498658322528099</v>
      </c>
      <c r="M38">
        <v>35.075128875845003</v>
      </c>
      <c r="N38">
        <v>0.21122876793209799</v>
      </c>
      <c r="O38">
        <v>4.1887902061209203</v>
      </c>
      <c r="P38">
        <v>2.41417614052278</v>
      </c>
      <c r="Q38">
        <v>7.5686231571785703</v>
      </c>
      <c r="R38">
        <v>9.4209933076149799</v>
      </c>
      <c r="S38">
        <v>4.5527300920102602</v>
      </c>
      <c r="T38">
        <v>7.0572336145697703</v>
      </c>
      <c r="U38">
        <v>7.5794345709518998E-2</v>
      </c>
      <c r="V38">
        <v>1.20350406340449</v>
      </c>
      <c r="W38">
        <v>1.51684</v>
      </c>
      <c r="X38">
        <v>77.971281467694297</v>
      </c>
      <c r="Y38">
        <v>1</v>
      </c>
    </row>
    <row r="39" spans="1:25" x14ac:dyDescent="0.25">
      <c r="A39">
        <v>24</v>
      </c>
      <c r="B39">
        <v>1.5</v>
      </c>
      <c r="C39" s="1">
        <v>1000000</v>
      </c>
      <c r="D39">
        <v>1</v>
      </c>
      <c r="E39">
        <v>0</v>
      </c>
      <c r="F39">
        <v>0.63675000000000004</v>
      </c>
      <c r="G39">
        <v>3.6367500000000001</v>
      </c>
      <c r="H39">
        <v>0.63675000000000004</v>
      </c>
      <c r="I39">
        <v>0</v>
      </c>
      <c r="J39">
        <v>1.24566557640408</v>
      </c>
      <c r="K39">
        <v>1.24953972734943</v>
      </c>
      <c r="L39">
        <v>11.4927658094875</v>
      </c>
      <c r="M39">
        <v>35.081272452183597</v>
      </c>
      <c r="N39">
        <v>0.21659871348846199</v>
      </c>
      <c r="O39">
        <v>4.1887902061814897</v>
      </c>
      <c r="P39">
        <v>2.40663839902586</v>
      </c>
      <c r="Q39">
        <v>7.5576606315435502</v>
      </c>
      <c r="R39">
        <v>9.4209933010420297</v>
      </c>
      <c r="S39">
        <v>4.5395549139502602</v>
      </c>
      <c r="T39">
        <v>7.0572335948745799</v>
      </c>
      <c r="U39">
        <v>7.5934043701523402E-2</v>
      </c>
      <c r="V39">
        <v>1.2017868862246099</v>
      </c>
      <c r="W39">
        <v>1.5164200000000001</v>
      </c>
      <c r="X39">
        <v>78.173111093480301</v>
      </c>
      <c r="Y39">
        <v>1</v>
      </c>
    </row>
    <row r="40" spans="1:25" x14ac:dyDescent="0.25">
      <c r="A40">
        <v>24</v>
      </c>
      <c r="B40">
        <v>1.5</v>
      </c>
      <c r="C40" s="1">
        <v>1000000</v>
      </c>
      <c r="D40">
        <v>1</v>
      </c>
      <c r="E40">
        <v>0</v>
      </c>
      <c r="F40">
        <v>0.63749999999999996</v>
      </c>
      <c r="G40">
        <v>3.6375000000000002</v>
      </c>
      <c r="H40">
        <v>0.63749999999999996</v>
      </c>
      <c r="I40">
        <v>0</v>
      </c>
      <c r="J40">
        <v>1.23598983063481</v>
      </c>
      <c r="K40">
        <v>1.23981132689464</v>
      </c>
      <c r="L40">
        <v>11.486918885606</v>
      </c>
      <c r="M40">
        <v>35.087431407167998</v>
      </c>
      <c r="N40">
        <v>0.216118471172836</v>
      </c>
      <c r="O40">
        <v>4.1887902062190498</v>
      </c>
      <c r="P40">
        <v>2.3991375265235302</v>
      </c>
      <c r="Q40">
        <v>7.5467075651781803</v>
      </c>
      <c r="R40">
        <v>9.4209932947872304</v>
      </c>
      <c r="S40">
        <v>4.5264128021416603</v>
      </c>
      <c r="T40">
        <v>7.0572335761326999</v>
      </c>
      <c r="U40">
        <v>7.6068631061702904E-2</v>
      </c>
      <c r="V40">
        <v>1.2000678395778199</v>
      </c>
      <c r="W40">
        <v>1.5159899999999999</v>
      </c>
      <c r="X40">
        <v>78.3749959561992</v>
      </c>
      <c r="Y40">
        <v>1</v>
      </c>
    </row>
    <row r="41" spans="1:25" x14ac:dyDescent="0.25">
      <c r="A41">
        <v>24</v>
      </c>
      <c r="B41">
        <v>1.5</v>
      </c>
      <c r="C41" s="1">
        <v>1000000</v>
      </c>
      <c r="D41">
        <v>1</v>
      </c>
      <c r="E41">
        <v>0</v>
      </c>
      <c r="F41">
        <v>0.63824999999999998</v>
      </c>
      <c r="G41">
        <v>3.6382500000000002</v>
      </c>
      <c r="H41">
        <v>0.63824999999999998</v>
      </c>
      <c r="I41">
        <v>0</v>
      </c>
      <c r="J41">
        <v>1.2257655641434499</v>
      </c>
      <c r="K41">
        <v>1.23021378471653</v>
      </c>
      <c r="L41">
        <v>11.4811069288155</v>
      </c>
      <c r="M41">
        <v>35.093295474951603</v>
      </c>
      <c r="N41">
        <v>0.19310066595057901</v>
      </c>
      <c r="O41">
        <v>4.1887902051741097</v>
      </c>
      <c r="P41">
        <v>2.3916723610609099</v>
      </c>
      <c r="Q41">
        <v>7.5367380356993703</v>
      </c>
      <c r="R41">
        <v>9.42099333537546</v>
      </c>
      <c r="S41">
        <v>4.5136319175483504</v>
      </c>
      <c r="T41">
        <v>7.0572336977511103</v>
      </c>
      <c r="U41">
        <v>7.6592220360669497E-2</v>
      </c>
      <c r="V41">
        <v>1.19773299240269</v>
      </c>
      <c r="W41">
        <v>1.5155400000000001</v>
      </c>
      <c r="X41">
        <v>78.584238245910498</v>
      </c>
      <c r="Y41">
        <v>1</v>
      </c>
    </row>
    <row r="42" spans="1:25" x14ac:dyDescent="0.25">
      <c r="A42">
        <v>24</v>
      </c>
      <c r="B42">
        <v>1.5</v>
      </c>
      <c r="C42" s="1">
        <v>1000000</v>
      </c>
      <c r="D42">
        <v>1</v>
      </c>
      <c r="E42">
        <v>0</v>
      </c>
      <c r="F42">
        <v>0.63900000000000001</v>
      </c>
      <c r="G42">
        <v>3.6389999999999998</v>
      </c>
      <c r="H42">
        <v>0.63900000000000001</v>
      </c>
      <c r="I42">
        <v>0</v>
      </c>
      <c r="J42">
        <v>1.2166280380571199</v>
      </c>
      <c r="K42">
        <v>1.2205747673648699</v>
      </c>
      <c r="L42">
        <v>11.475351864952399</v>
      </c>
      <c r="M42">
        <v>35.099622130580002</v>
      </c>
      <c r="N42">
        <v>0.1926659931992</v>
      </c>
      <c r="O42">
        <v>4.1887902051683099</v>
      </c>
      <c r="P42">
        <v>2.3842477151907802</v>
      </c>
      <c r="Q42">
        <v>7.5257227902394801</v>
      </c>
      <c r="R42">
        <v>9.4209933303454001</v>
      </c>
      <c r="S42">
        <v>4.5004068162370396</v>
      </c>
      <c r="T42">
        <v>7.0572336826789899</v>
      </c>
      <c r="U42">
        <v>7.6782814396894994E-2</v>
      </c>
      <c r="V42">
        <v>1.1959456664825501</v>
      </c>
      <c r="W42">
        <v>1.51518</v>
      </c>
      <c r="X42">
        <v>78.782731559255097</v>
      </c>
      <c r="Y42">
        <v>1</v>
      </c>
    </row>
    <row r="43" spans="1:25" x14ac:dyDescent="0.25">
      <c r="A43">
        <v>120</v>
      </c>
      <c r="B43">
        <v>1.5</v>
      </c>
      <c r="C43" s="1">
        <v>1000000</v>
      </c>
      <c r="D43">
        <v>1</v>
      </c>
      <c r="E43">
        <v>0</v>
      </c>
      <c r="F43">
        <v>0.60899999999999999</v>
      </c>
      <c r="G43">
        <v>3.609</v>
      </c>
      <c r="H43">
        <v>0.60899999999999999</v>
      </c>
      <c r="I43">
        <v>0</v>
      </c>
      <c r="J43">
        <v>-2.2365637520047001</v>
      </c>
      <c r="K43">
        <v>-2.23563085414701</v>
      </c>
      <c r="L43">
        <v>2.6244534357159899</v>
      </c>
      <c r="M43">
        <v>34.146934911423301</v>
      </c>
      <c r="N43">
        <v>0.15895365092136601</v>
      </c>
      <c r="O43">
        <v>4.1887902047690302</v>
      </c>
      <c r="P43">
        <v>-0.73868490792500996</v>
      </c>
      <c r="Q43">
        <v>9.7597869568038202</v>
      </c>
      <c r="R43">
        <v>9.4209864554730007</v>
      </c>
      <c r="S43">
        <v>7.5738104771265897</v>
      </c>
      <c r="T43">
        <v>7.0572130829075101</v>
      </c>
      <c r="U43">
        <v>0.13029532461443999</v>
      </c>
      <c r="V43">
        <v>1.4551792040546301</v>
      </c>
      <c r="W43">
        <v>1.5547800000000001</v>
      </c>
      <c r="X43">
        <v>108.31089501735499</v>
      </c>
      <c r="Y43">
        <v>1</v>
      </c>
    </row>
    <row r="44" spans="1:25" x14ac:dyDescent="0.25">
      <c r="A44">
        <v>120</v>
      </c>
      <c r="B44">
        <v>1.5</v>
      </c>
      <c r="C44" s="1">
        <v>1000000</v>
      </c>
      <c r="D44">
        <v>1</v>
      </c>
      <c r="E44">
        <v>0</v>
      </c>
      <c r="F44">
        <v>0.60975000000000001</v>
      </c>
      <c r="G44">
        <v>3.60975</v>
      </c>
      <c r="H44">
        <v>0.60975000000000001</v>
      </c>
      <c r="I44">
        <v>0</v>
      </c>
      <c r="J44">
        <v>-2.2393228279905699</v>
      </c>
      <c r="K44">
        <v>-2.2383972103402199</v>
      </c>
      <c r="L44">
        <v>2.6349987349180801</v>
      </c>
      <c r="M44">
        <v>34.151307572392</v>
      </c>
      <c r="N44">
        <v>0.159868606040866</v>
      </c>
      <c r="O44">
        <v>4.1887902047671703</v>
      </c>
      <c r="P44">
        <v>-0.74310081249218896</v>
      </c>
      <c r="Q44">
        <v>9.7518305463908099</v>
      </c>
      <c r="R44">
        <v>9.4209863334035209</v>
      </c>
      <c r="S44">
        <v>7.5614659311450501</v>
      </c>
      <c r="T44">
        <v>7.0572127171396302</v>
      </c>
      <c r="U44">
        <v>0.13056636894658399</v>
      </c>
      <c r="V44">
        <v>1.45427861184075</v>
      </c>
      <c r="W44">
        <v>1.5535099999999999</v>
      </c>
      <c r="X44">
        <v>108.53997239181</v>
      </c>
      <c r="Y44">
        <v>1</v>
      </c>
    </row>
    <row r="45" spans="1:25" x14ac:dyDescent="0.25">
      <c r="A45">
        <v>120</v>
      </c>
      <c r="B45">
        <v>1.5</v>
      </c>
      <c r="C45" s="1">
        <v>1000000</v>
      </c>
      <c r="D45">
        <v>1</v>
      </c>
      <c r="E45">
        <v>0</v>
      </c>
      <c r="F45">
        <v>0.61050000000000004</v>
      </c>
      <c r="G45">
        <v>3.6105</v>
      </c>
      <c r="H45">
        <v>0.61050000000000004</v>
      </c>
      <c r="I45">
        <v>0</v>
      </c>
      <c r="J45">
        <v>-2.2420170462467399</v>
      </c>
      <c r="K45">
        <v>-2.24109367509105</v>
      </c>
      <c r="L45">
        <v>2.6455569359379498</v>
      </c>
      <c r="M45">
        <v>34.155712819224298</v>
      </c>
      <c r="N45">
        <v>0.16139790089645401</v>
      </c>
      <c r="O45">
        <v>4.1887902047652501</v>
      </c>
      <c r="P45">
        <v>-0.74746692005634596</v>
      </c>
      <c r="Q45">
        <v>9.7438930446922303</v>
      </c>
      <c r="R45">
        <v>9.4209862103119004</v>
      </c>
      <c r="S45">
        <v>7.5491607607970899</v>
      </c>
      <c r="T45">
        <v>7.0572123483090099</v>
      </c>
      <c r="U45">
        <v>0.1308376092811</v>
      </c>
      <c r="V45">
        <v>1.45335778435536</v>
      </c>
      <c r="W45">
        <v>1.5522499999999999</v>
      </c>
      <c r="X45">
        <v>108.76815800697</v>
      </c>
      <c r="Y45">
        <v>1</v>
      </c>
    </row>
    <row r="46" spans="1:25" x14ac:dyDescent="0.25">
      <c r="A46">
        <v>120</v>
      </c>
      <c r="B46">
        <v>1.5</v>
      </c>
      <c r="C46" s="1">
        <v>1000000</v>
      </c>
      <c r="D46">
        <v>1</v>
      </c>
      <c r="E46">
        <v>0</v>
      </c>
      <c r="F46">
        <v>0.61124999999999996</v>
      </c>
      <c r="G46">
        <v>3.6112500000000001</v>
      </c>
      <c r="H46">
        <v>0.61124999999999996</v>
      </c>
      <c r="I46">
        <v>0</v>
      </c>
      <c r="J46">
        <v>-2.2446335780765798</v>
      </c>
      <c r="K46">
        <v>-2.2437212686479602</v>
      </c>
      <c r="L46">
        <v>2.6561277142231901</v>
      </c>
      <c r="M46">
        <v>34.160150229524099</v>
      </c>
      <c r="N46">
        <v>0.16311129664583601</v>
      </c>
      <c r="O46">
        <v>4.1887902047633201</v>
      </c>
      <c r="P46">
        <v>-0.75178379757472702</v>
      </c>
      <c r="Q46">
        <v>9.7359743715657103</v>
      </c>
      <c r="R46">
        <v>9.4209860862414807</v>
      </c>
      <c r="S46">
        <v>7.5368947701241797</v>
      </c>
      <c r="T46">
        <v>7.0572119765455001</v>
      </c>
      <c r="U46">
        <v>0.13110922216623899</v>
      </c>
      <c r="V46">
        <v>1.45243736446025</v>
      </c>
      <c r="W46">
        <v>1.5509999999999999</v>
      </c>
      <c r="X46">
        <v>108.99541042824799</v>
      </c>
      <c r="Y46">
        <v>1</v>
      </c>
    </row>
    <row r="47" spans="1:25" x14ac:dyDescent="0.25">
      <c r="A47">
        <v>120</v>
      </c>
      <c r="B47">
        <v>1.5</v>
      </c>
      <c r="C47" s="1">
        <v>1000000</v>
      </c>
      <c r="D47">
        <v>1</v>
      </c>
      <c r="E47">
        <v>0</v>
      </c>
      <c r="F47">
        <v>0.61199999999999999</v>
      </c>
      <c r="G47">
        <v>3.6120000000000001</v>
      </c>
      <c r="H47">
        <v>0.61199999999999999</v>
      </c>
      <c r="I47">
        <v>0</v>
      </c>
      <c r="J47">
        <v>-2.2471953543251599</v>
      </c>
      <c r="K47">
        <v>-2.2462802761449101</v>
      </c>
      <c r="L47">
        <v>2.6667107471225</v>
      </c>
      <c r="M47">
        <v>34.164619125960201</v>
      </c>
      <c r="N47">
        <v>0.16468269490686699</v>
      </c>
      <c r="O47">
        <v>4.1887902047614203</v>
      </c>
      <c r="P47">
        <v>-0.75605149333124499</v>
      </c>
      <c r="Q47">
        <v>9.7280741181035104</v>
      </c>
      <c r="R47">
        <v>9.4209859612575695</v>
      </c>
      <c r="S47">
        <v>7.5246672493680897</v>
      </c>
      <c r="T47">
        <v>7.0572116020448101</v>
      </c>
      <c r="U47">
        <v>0.131381279477185</v>
      </c>
      <c r="V47">
        <v>1.45151779629292</v>
      </c>
      <c r="W47">
        <v>1.5497399999999999</v>
      </c>
      <c r="X47">
        <v>109.221660203008</v>
      </c>
      <c r="Y47">
        <v>1</v>
      </c>
    </row>
    <row r="48" spans="1:25" x14ac:dyDescent="0.25">
      <c r="A48">
        <v>120</v>
      </c>
      <c r="B48">
        <v>1.5</v>
      </c>
      <c r="C48" s="1">
        <v>1000000</v>
      </c>
      <c r="D48">
        <v>1</v>
      </c>
      <c r="E48">
        <v>0</v>
      </c>
      <c r="F48">
        <v>0.61275000000000002</v>
      </c>
      <c r="G48">
        <v>3.6127500000000001</v>
      </c>
      <c r="H48">
        <v>0.61275000000000002</v>
      </c>
      <c r="I48">
        <v>0</v>
      </c>
      <c r="J48">
        <v>-2.2496852653399499</v>
      </c>
      <c r="K48">
        <v>-2.24877175041334</v>
      </c>
      <c r="L48">
        <v>2.6773057201311401</v>
      </c>
      <c r="M48">
        <v>34.169119634667503</v>
      </c>
      <c r="N48">
        <v>0.16604624031520701</v>
      </c>
      <c r="O48">
        <v>4.18879020475954</v>
      </c>
      <c r="P48">
        <v>-0.76027042147365798</v>
      </c>
      <c r="Q48">
        <v>9.72019290223861</v>
      </c>
      <c r="R48">
        <v>9.4209858349070306</v>
      </c>
      <c r="S48">
        <v>7.5124790825124599</v>
      </c>
      <c r="T48">
        <v>7.05721122344913</v>
      </c>
      <c r="U48">
        <v>0.13165316226141499</v>
      </c>
      <c r="V48">
        <v>1.4505991633186199</v>
      </c>
      <c r="W48">
        <v>1.5484899999999999</v>
      </c>
      <c r="X48">
        <v>109.446901969569</v>
      </c>
      <c r="Y48">
        <v>1</v>
      </c>
    </row>
    <row r="49" spans="1:25" x14ac:dyDescent="0.25">
      <c r="A49">
        <v>120</v>
      </c>
      <c r="B49">
        <v>1.5</v>
      </c>
      <c r="C49" s="1">
        <v>1000000</v>
      </c>
      <c r="D49">
        <v>1</v>
      </c>
      <c r="E49">
        <v>0</v>
      </c>
      <c r="F49">
        <v>0.61350000000000005</v>
      </c>
      <c r="G49">
        <v>3.6135000000000002</v>
      </c>
      <c r="H49">
        <v>0.61350000000000005</v>
      </c>
      <c r="I49">
        <v>0</v>
      </c>
      <c r="J49">
        <v>-2.2521116905396199</v>
      </c>
      <c r="K49">
        <v>-2.25119661536344</v>
      </c>
      <c r="L49">
        <v>2.6879123155751401</v>
      </c>
      <c r="M49">
        <v>34.1736511225348</v>
      </c>
      <c r="N49">
        <v>0.16700412618579299</v>
      </c>
      <c r="O49">
        <v>4.18879020475765</v>
      </c>
      <c r="P49">
        <v>-0.76444115755998299</v>
      </c>
      <c r="Q49">
        <v>9.7123303661203799</v>
      </c>
      <c r="R49">
        <v>9.4209857073766301</v>
      </c>
      <c r="S49">
        <v>7.5003296375586102</v>
      </c>
      <c r="T49">
        <v>7.0572108413181098</v>
      </c>
      <c r="U49">
        <v>0.13192523683159799</v>
      </c>
      <c r="V49">
        <v>1.4496805445860399</v>
      </c>
      <c r="W49">
        <v>1.5472399999999999</v>
      </c>
      <c r="X49">
        <v>109.671059793699</v>
      </c>
      <c r="Y49">
        <v>1</v>
      </c>
    </row>
    <row r="50" spans="1:25" x14ac:dyDescent="0.25">
      <c r="A50">
        <v>120</v>
      </c>
      <c r="B50">
        <v>1.5</v>
      </c>
      <c r="C50" s="1">
        <v>1000000</v>
      </c>
      <c r="D50">
        <v>1</v>
      </c>
      <c r="E50">
        <v>0</v>
      </c>
      <c r="F50">
        <v>0.61424999999999996</v>
      </c>
      <c r="G50">
        <v>3.6142500000000002</v>
      </c>
      <c r="H50">
        <v>0.61424999999999996</v>
      </c>
      <c r="I50">
        <v>0</v>
      </c>
      <c r="J50">
        <v>-2.2544792334236901</v>
      </c>
      <c r="K50">
        <v>-2.2535558500065398</v>
      </c>
      <c r="L50">
        <v>2.6985302164854299</v>
      </c>
      <c r="M50">
        <v>34.178213111409299</v>
      </c>
      <c r="N50">
        <v>0.16762400453703399</v>
      </c>
      <c r="O50">
        <v>4.1887902047556302</v>
      </c>
      <c r="P50">
        <v>-0.768564275391596</v>
      </c>
      <c r="Q50">
        <v>9.7044863519636504</v>
      </c>
      <c r="R50">
        <v>9.4209855791109405</v>
      </c>
      <c r="S50">
        <v>7.4882185894698603</v>
      </c>
      <c r="T50">
        <v>7.0572104569838601</v>
      </c>
      <c r="U50">
        <v>0.132197416346897</v>
      </c>
      <c r="V50">
        <v>1.4487299861856999</v>
      </c>
      <c r="W50">
        <v>1.54599</v>
      </c>
      <c r="X50">
        <v>109.894105338177</v>
      </c>
      <c r="Y50">
        <v>1</v>
      </c>
    </row>
    <row r="51" spans="1:25" x14ac:dyDescent="0.25">
      <c r="A51">
        <v>120</v>
      </c>
      <c r="B51">
        <v>1.5</v>
      </c>
      <c r="C51" s="1">
        <v>1000000</v>
      </c>
      <c r="D51">
        <v>1</v>
      </c>
      <c r="E51">
        <v>0</v>
      </c>
      <c r="F51">
        <v>0.61499999999999999</v>
      </c>
      <c r="G51">
        <v>3.6150000000000002</v>
      </c>
      <c r="H51">
        <v>0.61499999999999999</v>
      </c>
      <c r="I51">
        <v>0</v>
      </c>
      <c r="J51">
        <v>-2.25682692604191</v>
      </c>
      <c r="K51">
        <v>-2.2558851237209501</v>
      </c>
      <c r="L51">
        <v>2.7091501938561602</v>
      </c>
      <c r="M51">
        <v>34.1829183512301</v>
      </c>
      <c r="N51">
        <v>0.145688891368846</v>
      </c>
      <c r="O51">
        <v>4.1887902047535004</v>
      </c>
      <c r="P51">
        <v>-0.77262587348272904</v>
      </c>
      <c r="Q51">
        <v>9.6968198402277306</v>
      </c>
      <c r="R51">
        <v>9.4209855206820698</v>
      </c>
      <c r="S51">
        <v>7.4763894722448798</v>
      </c>
      <c r="T51">
        <v>7.0572102819182501</v>
      </c>
      <c r="U51">
        <v>0.13278736861007301</v>
      </c>
      <c r="V51">
        <v>1.4477687103005601</v>
      </c>
      <c r="W51">
        <v>1.5447500000000001</v>
      </c>
      <c r="X51">
        <v>110.116915919159</v>
      </c>
      <c r="Y51">
        <v>1</v>
      </c>
    </row>
    <row r="52" spans="1:25" x14ac:dyDescent="0.25">
      <c r="A52">
        <v>120</v>
      </c>
      <c r="B52">
        <v>1.5</v>
      </c>
      <c r="C52" s="1">
        <v>1000000</v>
      </c>
      <c r="D52">
        <v>1</v>
      </c>
      <c r="E52">
        <v>0</v>
      </c>
      <c r="F52">
        <v>0.61575000000000002</v>
      </c>
      <c r="G52">
        <v>3.6157499999999998</v>
      </c>
      <c r="H52">
        <v>0.61575000000000002</v>
      </c>
      <c r="I52">
        <v>0</v>
      </c>
      <c r="J52">
        <v>-2.2590919417314699</v>
      </c>
      <c r="K52">
        <v>-2.2581152733994498</v>
      </c>
      <c r="L52">
        <v>2.71978968542177</v>
      </c>
      <c r="M52">
        <v>34.187540333289903</v>
      </c>
      <c r="N52">
        <v>0.14436363723717499</v>
      </c>
      <c r="O52">
        <v>4.1887902047525403</v>
      </c>
      <c r="P52">
        <v>-0.77665451030448696</v>
      </c>
      <c r="Q52">
        <v>9.6890131597240003</v>
      </c>
      <c r="R52">
        <v>9.4209853888006805</v>
      </c>
      <c r="S52">
        <v>7.4643552530786801</v>
      </c>
      <c r="T52">
        <v>7.0572098867502602</v>
      </c>
      <c r="U52">
        <v>0.13308893315249001</v>
      </c>
      <c r="V52">
        <v>1.4468280194449901</v>
      </c>
      <c r="W52">
        <v>1.5435099999999999</v>
      </c>
      <c r="X52">
        <v>110.338554355746</v>
      </c>
      <c r="Y52">
        <v>1</v>
      </c>
    </row>
    <row r="53" spans="1:25" x14ac:dyDescent="0.25">
      <c r="A53">
        <v>120</v>
      </c>
      <c r="B53">
        <v>1.5</v>
      </c>
      <c r="C53" s="1">
        <v>1000000</v>
      </c>
      <c r="D53">
        <v>1</v>
      </c>
      <c r="E53">
        <v>0</v>
      </c>
      <c r="F53">
        <v>0.61650000000000005</v>
      </c>
      <c r="G53">
        <v>3.6164999999999998</v>
      </c>
      <c r="H53">
        <v>0.61650000000000005</v>
      </c>
      <c r="I53">
        <v>0</v>
      </c>
      <c r="J53">
        <v>-2.2612906282253702</v>
      </c>
      <c r="K53">
        <v>-2.2602803800884299</v>
      </c>
      <c r="L53">
        <v>2.7304395042818599</v>
      </c>
      <c r="M53">
        <v>34.192190720136303</v>
      </c>
      <c r="N53">
        <v>0.14474833112383401</v>
      </c>
      <c r="O53">
        <v>4.1887902047504699</v>
      </c>
      <c r="P53">
        <v>-0.78063553758880999</v>
      </c>
      <c r="Q53">
        <v>9.6812236774162006</v>
      </c>
      <c r="R53">
        <v>9.4209852636693707</v>
      </c>
      <c r="S53">
        <v>7.4523571497720402</v>
      </c>
      <c r="T53">
        <v>7.0572095118082201</v>
      </c>
      <c r="U53">
        <v>0.13340133338096899</v>
      </c>
      <c r="V53">
        <v>1.44588821315211</v>
      </c>
      <c r="W53">
        <v>1.54227</v>
      </c>
      <c r="X53">
        <v>110.55905877236199</v>
      </c>
      <c r="Y53">
        <v>1</v>
      </c>
    </row>
    <row r="54" spans="1:25" x14ac:dyDescent="0.25">
      <c r="A54">
        <v>120</v>
      </c>
      <c r="B54">
        <v>1.5</v>
      </c>
      <c r="C54" s="1">
        <v>1000000</v>
      </c>
      <c r="D54">
        <v>1</v>
      </c>
      <c r="E54">
        <v>0</v>
      </c>
      <c r="F54">
        <v>0.61724999999999997</v>
      </c>
      <c r="G54">
        <v>3.6172499999999999</v>
      </c>
      <c r="H54">
        <v>0.61724999999999997</v>
      </c>
      <c r="I54">
        <v>0</v>
      </c>
      <c r="J54">
        <v>-2.2634308090166702</v>
      </c>
      <c r="K54">
        <v>-2.2623831957431402</v>
      </c>
      <c r="L54">
        <v>2.74109946662655</v>
      </c>
      <c r="M54">
        <v>34.196871633481003</v>
      </c>
      <c r="N54">
        <v>0.14493345157618001</v>
      </c>
      <c r="O54">
        <v>4.1887902047488597</v>
      </c>
      <c r="P54">
        <v>-0.78457014206686704</v>
      </c>
      <c r="Q54">
        <v>9.6734544297683502</v>
      </c>
      <c r="R54">
        <v>9.4209851306087202</v>
      </c>
      <c r="S54">
        <v>7.44039986124689</v>
      </c>
      <c r="T54">
        <v>7.0572091131067003</v>
      </c>
      <c r="U54">
        <v>0.13370887489429201</v>
      </c>
      <c r="V54">
        <v>1.4449490259933999</v>
      </c>
      <c r="W54">
        <v>1.54104</v>
      </c>
      <c r="X54">
        <v>110.77857468091</v>
      </c>
      <c r="Y54">
        <v>1</v>
      </c>
    </row>
    <row r="55" spans="1:25" x14ac:dyDescent="0.25">
      <c r="A55">
        <v>120</v>
      </c>
      <c r="B55">
        <v>1.5</v>
      </c>
      <c r="C55" s="1">
        <v>1000000</v>
      </c>
      <c r="D55">
        <v>1</v>
      </c>
      <c r="E55">
        <v>0</v>
      </c>
      <c r="F55">
        <v>0.61799999999999999</v>
      </c>
      <c r="G55">
        <v>3.6179999999999999</v>
      </c>
      <c r="H55">
        <v>0.61799999999999999</v>
      </c>
      <c r="I55">
        <v>0</v>
      </c>
      <c r="J55">
        <v>-2.2655076499803202</v>
      </c>
      <c r="K55">
        <v>-2.2644234266403398</v>
      </c>
      <c r="L55">
        <v>2.7517692163744201</v>
      </c>
      <c r="M55">
        <v>34.2015814612244</v>
      </c>
      <c r="N55">
        <v>0.14574007307613701</v>
      </c>
      <c r="O55">
        <v>4.1887902047468701</v>
      </c>
      <c r="P55">
        <v>-0.78845824186382896</v>
      </c>
      <c r="Q55">
        <v>9.6657038357658802</v>
      </c>
      <c r="R55">
        <v>9.4209849969303203</v>
      </c>
      <c r="S55">
        <v>7.4284808316854498</v>
      </c>
      <c r="T55">
        <v>7.0572087125541696</v>
      </c>
      <c r="U55">
        <v>0.13401951610950699</v>
      </c>
      <c r="V55">
        <v>1.4440106342135299</v>
      </c>
      <c r="W55">
        <v>1.5398099999999999</v>
      </c>
      <c r="X55">
        <v>110.99702056732799</v>
      </c>
      <c r="Y55">
        <v>1</v>
      </c>
    </row>
    <row r="56" spans="1:25" x14ac:dyDescent="0.25">
      <c r="A56">
        <v>120</v>
      </c>
      <c r="B56">
        <v>1.5</v>
      </c>
      <c r="C56" s="1">
        <v>1000000</v>
      </c>
      <c r="D56">
        <v>1</v>
      </c>
      <c r="E56">
        <v>0</v>
      </c>
      <c r="F56">
        <v>0.61875000000000002</v>
      </c>
      <c r="G56">
        <v>3.6187499999999999</v>
      </c>
      <c r="H56">
        <v>0.61875000000000002</v>
      </c>
      <c r="I56">
        <v>0</v>
      </c>
      <c r="J56">
        <v>-2.2675158342890702</v>
      </c>
      <c r="K56">
        <v>-2.26640202394359</v>
      </c>
      <c r="L56">
        <v>2.7624484584640898</v>
      </c>
      <c r="M56">
        <v>34.206319902248701</v>
      </c>
      <c r="N56">
        <v>0.146783894944048</v>
      </c>
      <c r="O56">
        <v>4.1887902047445102</v>
      </c>
      <c r="P56">
        <v>-0.79230035516058805</v>
      </c>
      <c r="Q56">
        <v>9.6579719345659107</v>
      </c>
      <c r="R56">
        <v>9.42098486268595</v>
      </c>
      <c r="S56">
        <v>7.4166000486548098</v>
      </c>
      <c r="T56">
        <v>7.0572083103057901</v>
      </c>
      <c r="U56">
        <v>0.134333399412638</v>
      </c>
      <c r="V56">
        <v>1.44307306445429</v>
      </c>
      <c r="W56">
        <v>1.5385899999999999</v>
      </c>
      <c r="X56">
        <v>111.214381413071</v>
      </c>
      <c r="Y56">
        <v>1</v>
      </c>
    </row>
    <row r="57" spans="1:25" x14ac:dyDescent="0.25">
      <c r="A57">
        <v>120</v>
      </c>
      <c r="B57">
        <v>1.5</v>
      </c>
      <c r="C57" s="1">
        <v>1000000</v>
      </c>
      <c r="D57">
        <v>1</v>
      </c>
      <c r="E57">
        <v>0</v>
      </c>
      <c r="F57">
        <v>0.61950000000000005</v>
      </c>
      <c r="G57">
        <v>3.6194999999999999</v>
      </c>
      <c r="H57">
        <v>0.61950000000000005</v>
      </c>
      <c r="I57">
        <v>0</v>
      </c>
      <c r="J57">
        <v>-2.2694465342073902</v>
      </c>
      <c r="K57">
        <v>-2.26832000545176</v>
      </c>
      <c r="L57">
        <v>2.7731369003568598</v>
      </c>
      <c r="M57">
        <v>34.211086764504998</v>
      </c>
      <c r="N57">
        <v>0.14733716045427001</v>
      </c>
      <c r="O57">
        <v>4.1887902047419097</v>
      </c>
      <c r="P57">
        <v>-0.79609702249316505</v>
      </c>
      <c r="Q57">
        <v>9.6502589034392496</v>
      </c>
      <c r="R57">
        <v>9.4209847280733499</v>
      </c>
      <c r="S57">
        <v>7.4047577119423904</v>
      </c>
      <c r="T57">
        <v>7.0572079069540496</v>
      </c>
      <c r="U57">
        <v>0.134650611681674</v>
      </c>
      <c r="V57">
        <v>1.4421363444050801</v>
      </c>
      <c r="W57">
        <v>1.5373600000000001</v>
      </c>
      <c r="X57">
        <v>111.430660007367</v>
      </c>
      <c r="Y57">
        <v>1</v>
      </c>
    </row>
    <row r="58" spans="1:25" x14ac:dyDescent="0.25">
      <c r="A58">
        <v>120</v>
      </c>
      <c r="B58">
        <v>1.5</v>
      </c>
      <c r="C58" s="1">
        <v>1000000</v>
      </c>
      <c r="D58">
        <v>1</v>
      </c>
      <c r="E58">
        <v>0</v>
      </c>
      <c r="F58">
        <v>0.62024999999999997</v>
      </c>
      <c r="G58">
        <v>3.62025</v>
      </c>
      <c r="H58">
        <v>0.62024999999999997</v>
      </c>
      <c r="I58">
        <v>0</v>
      </c>
      <c r="J58">
        <v>-2.2712864032443401</v>
      </c>
      <c r="K58">
        <v>-2.2701785548087599</v>
      </c>
      <c r="L58">
        <v>2.7838342563384901</v>
      </c>
      <c r="M58">
        <v>34.215881915265598</v>
      </c>
      <c r="N58">
        <v>0.14624906229952001</v>
      </c>
      <c r="O58">
        <v>4.1887902047391998</v>
      </c>
      <c r="P58">
        <v>-0.79984890923851004</v>
      </c>
      <c r="Q58">
        <v>9.6425649933578796</v>
      </c>
      <c r="R58">
        <v>9.4209845923788507</v>
      </c>
      <c r="S58">
        <v>7.3929541317844496</v>
      </c>
      <c r="T58">
        <v>7.0572075003605397</v>
      </c>
      <c r="U58">
        <v>0.13496985175145701</v>
      </c>
      <c r="V58">
        <v>1.44120049581059</v>
      </c>
      <c r="W58">
        <v>1.5361400000000001</v>
      </c>
      <c r="X58">
        <v>111.645881236821</v>
      </c>
      <c r="Y58">
        <v>1</v>
      </c>
    </row>
    <row r="59" spans="1:25" x14ac:dyDescent="0.25">
      <c r="A59">
        <v>120</v>
      </c>
      <c r="B59">
        <v>1.5</v>
      </c>
      <c r="C59" s="1">
        <v>1000000</v>
      </c>
      <c r="D59">
        <v>1</v>
      </c>
      <c r="E59">
        <v>0</v>
      </c>
      <c r="F59">
        <v>0.621</v>
      </c>
      <c r="G59">
        <v>3.621</v>
      </c>
      <c r="H59">
        <v>0.621</v>
      </c>
      <c r="I59">
        <v>0</v>
      </c>
      <c r="J59">
        <v>-2.2730268064413401</v>
      </c>
      <c r="K59">
        <v>-2.2719772368671598</v>
      </c>
      <c r="L59">
        <v>2.7945402437612601</v>
      </c>
      <c r="M59">
        <v>34.220705117434697</v>
      </c>
      <c r="N59">
        <v>0.14220372585835001</v>
      </c>
      <c r="O59">
        <v>4.1887902047371499</v>
      </c>
      <c r="P59">
        <v>-0.80355534778688598</v>
      </c>
      <c r="Q59">
        <v>9.6348903145641103</v>
      </c>
      <c r="R59">
        <v>9.4209844549746702</v>
      </c>
      <c r="S59">
        <v>7.3811894030404801</v>
      </c>
      <c r="T59">
        <v>7.0572070886441596</v>
      </c>
      <c r="U59">
        <v>0.13528913694412201</v>
      </c>
      <c r="V59">
        <v>1.4402655650146801</v>
      </c>
      <c r="W59">
        <v>1.5349299999999999</v>
      </c>
      <c r="X59">
        <v>111.860106323765</v>
      </c>
      <c r="Y59">
        <v>1</v>
      </c>
    </row>
    <row r="60" spans="1:25" x14ac:dyDescent="0.25">
      <c r="A60">
        <v>120</v>
      </c>
      <c r="B60">
        <v>1.5</v>
      </c>
      <c r="C60" s="1">
        <v>1000000</v>
      </c>
      <c r="D60">
        <v>1</v>
      </c>
      <c r="E60">
        <v>0</v>
      </c>
      <c r="F60">
        <v>0.62175000000000002</v>
      </c>
      <c r="G60">
        <v>3.62175</v>
      </c>
      <c r="H60">
        <v>0.62175000000000002</v>
      </c>
      <c r="I60">
        <v>0</v>
      </c>
      <c r="J60">
        <v>-2.27472557158343</v>
      </c>
      <c r="K60">
        <v>-2.2737160733364501</v>
      </c>
      <c r="L60">
        <v>2.80525458592416</v>
      </c>
      <c r="M60">
        <v>34.225556535492998</v>
      </c>
      <c r="N60">
        <v>0.136185744401946</v>
      </c>
      <c r="O60">
        <v>4.1887902047363097</v>
      </c>
      <c r="P60">
        <v>-0.807215903846774</v>
      </c>
      <c r="Q60">
        <v>9.6272355375471097</v>
      </c>
      <c r="R60">
        <v>9.4209843142139196</v>
      </c>
      <c r="S60">
        <v>7.3694644178897102</v>
      </c>
      <c r="T60">
        <v>7.0572066668702496</v>
      </c>
      <c r="U60">
        <v>0.135604998994172</v>
      </c>
      <c r="V60">
        <v>1.4392977149033701</v>
      </c>
      <c r="W60">
        <v>1.53372</v>
      </c>
      <c r="X60">
        <v>112.073392632637</v>
      </c>
      <c r="Y60">
        <v>1</v>
      </c>
    </row>
    <row r="61" spans="1:25" x14ac:dyDescent="0.25">
      <c r="A61">
        <v>120</v>
      </c>
      <c r="B61">
        <v>1.5</v>
      </c>
      <c r="C61" s="1">
        <v>1000000</v>
      </c>
      <c r="D61">
        <v>1</v>
      </c>
      <c r="E61">
        <v>0</v>
      </c>
      <c r="F61">
        <v>0.62250000000000005</v>
      </c>
      <c r="G61">
        <v>3.6225000000000001</v>
      </c>
      <c r="H61">
        <v>0.62250000000000005</v>
      </c>
      <c r="I61">
        <v>0</v>
      </c>
      <c r="J61">
        <v>-2.2763695477837902</v>
      </c>
      <c r="K61">
        <v>-2.2753936720965702</v>
      </c>
      <c r="L61">
        <v>2.81597700001555</v>
      </c>
      <c r="M61">
        <v>34.230433630305399</v>
      </c>
      <c r="N61">
        <v>0.12943541155868099</v>
      </c>
      <c r="O61">
        <v>4.1887902047371197</v>
      </c>
      <c r="P61">
        <v>-0.81082995922892998</v>
      </c>
      <c r="Q61">
        <v>9.61959768076877</v>
      </c>
      <c r="R61">
        <v>9.4209841717040206</v>
      </c>
      <c r="S61">
        <v>7.3577746541436699</v>
      </c>
      <c r="T61">
        <v>7.0572062398551303</v>
      </c>
      <c r="U61">
        <v>0.135919461985998</v>
      </c>
      <c r="V61">
        <v>1.4383292559488801</v>
      </c>
      <c r="W61">
        <v>1.53251</v>
      </c>
      <c r="X61">
        <v>112.28564579899999</v>
      </c>
      <c r="Y61">
        <v>1</v>
      </c>
    </row>
    <row r="62" spans="1:25" x14ac:dyDescent="0.25">
      <c r="A62">
        <v>120</v>
      </c>
      <c r="B62">
        <v>1.5</v>
      </c>
      <c r="C62" s="1">
        <v>1000000</v>
      </c>
      <c r="D62">
        <v>1</v>
      </c>
      <c r="E62">
        <v>0</v>
      </c>
      <c r="F62">
        <v>0.62324999999999997</v>
      </c>
      <c r="G62">
        <v>3.6232500000000001</v>
      </c>
      <c r="H62">
        <v>0.62324999999999997</v>
      </c>
      <c r="I62">
        <v>0</v>
      </c>
      <c r="J62">
        <v>-2.2779727526657201</v>
      </c>
      <c r="K62">
        <v>-2.27701100276682</v>
      </c>
      <c r="L62">
        <v>2.8267072039793102</v>
      </c>
      <c r="M62">
        <v>34.235336238496402</v>
      </c>
      <c r="N62">
        <v>0.12460212680100299</v>
      </c>
      <c r="O62">
        <v>4.1887902047387202</v>
      </c>
      <c r="P62">
        <v>-0.81439801481373797</v>
      </c>
      <c r="Q62">
        <v>9.6119769852977104</v>
      </c>
      <c r="R62">
        <v>9.4209840278313806</v>
      </c>
      <c r="S62">
        <v>7.3461203467936196</v>
      </c>
      <c r="T62">
        <v>7.0572058087567298</v>
      </c>
      <c r="U62">
        <v>0.13623477325797401</v>
      </c>
      <c r="V62">
        <v>1.43736223893229</v>
      </c>
      <c r="W62">
        <v>1.5313000000000001</v>
      </c>
      <c r="X62">
        <v>112.49679257920999</v>
      </c>
      <c r="Y62">
        <v>1</v>
      </c>
    </row>
    <row r="63" spans="1:25" x14ac:dyDescent="0.25">
      <c r="A63">
        <v>120</v>
      </c>
      <c r="B63">
        <v>1.5</v>
      </c>
      <c r="C63" s="1">
        <v>1000000</v>
      </c>
      <c r="D63">
        <v>1</v>
      </c>
      <c r="E63">
        <v>0</v>
      </c>
      <c r="F63">
        <v>0.624</v>
      </c>
      <c r="G63">
        <v>3.6240000000000001</v>
      </c>
      <c r="H63">
        <v>0.624</v>
      </c>
      <c r="I63">
        <v>0</v>
      </c>
      <c r="J63">
        <v>-2.2795312175684401</v>
      </c>
      <c r="K63">
        <v>-2.2785685884841098</v>
      </c>
      <c r="L63">
        <v>2.8374449159752202</v>
      </c>
      <c r="M63">
        <v>34.240263335304199</v>
      </c>
      <c r="N63">
        <v>0.121388680027308</v>
      </c>
      <c r="O63">
        <v>4.1887902047416903</v>
      </c>
      <c r="P63">
        <v>-0.81792052303594698</v>
      </c>
      <c r="Q63">
        <v>9.6043725283104209</v>
      </c>
      <c r="R63">
        <v>9.4209838835571897</v>
      </c>
      <c r="S63">
        <v>7.3345000041946999</v>
      </c>
      <c r="T63">
        <v>7.0572053764552001</v>
      </c>
      <c r="U63">
        <v>0.13655492458467899</v>
      </c>
      <c r="V63">
        <v>1.4363968239223399</v>
      </c>
      <c r="W63">
        <v>1.5301</v>
      </c>
      <c r="X63">
        <v>112.706781756352</v>
      </c>
      <c r="Y63">
        <v>1</v>
      </c>
    </row>
    <row r="64" spans="1:25" x14ac:dyDescent="0.25">
      <c r="A64">
        <v>120</v>
      </c>
      <c r="B64">
        <v>1.5</v>
      </c>
      <c r="C64" s="1">
        <v>1000000</v>
      </c>
      <c r="D64">
        <v>1</v>
      </c>
      <c r="E64">
        <v>0</v>
      </c>
      <c r="F64">
        <v>0.62475000000000003</v>
      </c>
      <c r="G64">
        <v>3.6247500000000001</v>
      </c>
      <c r="H64">
        <v>0.62475000000000003</v>
      </c>
      <c r="I64">
        <v>0</v>
      </c>
      <c r="J64">
        <v>-2.2811333718071398</v>
      </c>
      <c r="K64">
        <v>-2.2800612734538399</v>
      </c>
      <c r="L64">
        <v>2.84818983226491</v>
      </c>
      <c r="M64">
        <v>34.245214235159096</v>
      </c>
      <c r="N64">
        <v>0.12536317582352399</v>
      </c>
      <c r="O64">
        <v>4.1887902047485497</v>
      </c>
      <c r="P64">
        <v>-0.821392939489892</v>
      </c>
      <c r="Q64">
        <v>9.5967838396023506</v>
      </c>
      <c r="R64">
        <v>9.4209837447324691</v>
      </c>
      <c r="S64">
        <v>7.3229128276245197</v>
      </c>
      <c r="T64">
        <v>7.0572049604825198</v>
      </c>
      <c r="U64">
        <v>0.136888701836751</v>
      </c>
      <c r="V64">
        <v>1.4354336722683401</v>
      </c>
      <c r="W64">
        <v>1.5288999999999999</v>
      </c>
      <c r="X64">
        <v>112.9157786562</v>
      </c>
      <c r="Y64">
        <v>1</v>
      </c>
    </row>
    <row r="65" spans="1:25" x14ac:dyDescent="0.25">
      <c r="A65">
        <v>120</v>
      </c>
      <c r="B65">
        <v>1.5</v>
      </c>
      <c r="C65" s="1">
        <v>1000000</v>
      </c>
      <c r="D65">
        <v>1</v>
      </c>
      <c r="E65">
        <v>0</v>
      </c>
      <c r="F65">
        <v>0.62549999999999994</v>
      </c>
      <c r="G65">
        <v>3.6255000000000002</v>
      </c>
      <c r="H65">
        <v>0.62549999999999994</v>
      </c>
      <c r="I65">
        <v>0</v>
      </c>
      <c r="J65">
        <v>-2.2824298741048401</v>
      </c>
      <c r="K65">
        <v>-2.2814978677094202</v>
      </c>
      <c r="L65">
        <v>2.8589417226192499</v>
      </c>
      <c r="M65">
        <v>34.2501963768241</v>
      </c>
      <c r="N65">
        <v>0.135034474088882</v>
      </c>
      <c r="O65">
        <v>4.1887902047487096</v>
      </c>
      <c r="P65">
        <v>-0.82481962703274703</v>
      </c>
      <c r="Q65">
        <v>9.5892209455998891</v>
      </c>
      <c r="R65">
        <v>9.4209836041392805</v>
      </c>
      <c r="S65">
        <v>7.3113741983283296</v>
      </c>
      <c r="T65">
        <v>7.0572045392108498</v>
      </c>
      <c r="U65">
        <v>0.13722315996873299</v>
      </c>
      <c r="V65">
        <v>1.4344720575230401</v>
      </c>
      <c r="W65">
        <v>1.5277000000000001</v>
      </c>
      <c r="X65">
        <v>113.123936281391</v>
      </c>
      <c r="Y65">
        <v>1</v>
      </c>
    </row>
    <row r="66" spans="1:25" x14ac:dyDescent="0.25">
      <c r="A66">
        <v>120</v>
      </c>
      <c r="B66">
        <v>1.5</v>
      </c>
      <c r="C66" s="1">
        <v>1000000</v>
      </c>
      <c r="D66">
        <v>1</v>
      </c>
      <c r="E66">
        <v>0</v>
      </c>
      <c r="F66">
        <v>0.62624999999999997</v>
      </c>
      <c r="G66">
        <v>3.6262500000000002</v>
      </c>
      <c r="H66">
        <v>0.62624999999999997</v>
      </c>
      <c r="I66">
        <v>0</v>
      </c>
      <c r="J66">
        <v>-2.2840519960071899</v>
      </c>
      <c r="K66">
        <v>-2.28288524220685</v>
      </c>
      <c r="L66">
        <v>2.8697003530935201</v>
      </c>
      <c r="M66">
        <v>34.255196221141802</v>
      </c>
      <c r="N66">
        <v>0.136461355761481</v>
      </c>
      <c r="O66">
        <v>4.1887902047473897</v>
      </c>
      <c r="P66">
        <v>-0.82821127335704103</v>
      </c>
      <c r="Q66">
        <v>9.5816666334836391</v>
      </c>
      <c r="R66">
        <v>9.4209834585059298</v>
      </c>
      <c r="S66">
        <v>7.2998575256223202</v>
      </c>
      <c r="T66">
        <v>7.0572041028367796</v>
      </c>
      <c r="U66">
        <v>0.137546023575881</v>
      </c>
      <c r="V66">
        <v>1.4335114193157401</v>
      </c>
      <c r="W66">
        <v>1.52651</v>
      </c>
      <c r="X66">
        <v>113.330776841679</v>
      </c>
      <c r="Y66">
        <v>1</v>
      </c>
    </row>
    <row r="67" spans="1:25" x14ac:dyDescent="0.25">
      <c r="A67">
        <v>120</v>
      </c>
      <c r="B67">
        <v>1.5</v>
      </c>
      <c r="C67" s="1">
        <v>1000000</v>
      </c>
      <c r="D67">
        <v>1</v>
      </c>
      <c r="E67">
        <v>0</v>
      </c>
      <c r="F67">
        <v>0.627</v>
      </c>
      <c r="G67">
        <v>3.6269999999999998</v>
      </c>
      <c r="H67">
        <v>0.627</v>
      </c>
      <c r="I67">
        <v>0</v>
      </c>
      <c r="J67">
        <v>-2.2852504459387899</v>
      </c>
      <c r="K67">
        <v>-2.2842127423060798</v>
      </c>
      <c r="L67">
        <v>2.8804654103229801</v>
      </c>
      <c r="M67">
        <v>34.260225983759803</v>
      </c>
      <c r="N67">
        <v>0.144264221027467</v>
      </c>
      <c r="O67">
        <v>4.1887902047460601</v>
      </c>
      <c r="P67">
        <v>-0.83155372281888096</v>
      </c>
      <c r="Q67">
        <v>9.57413705821895</v>
      </c>
      <c r="R67">
        <v>9.4209833149415392</v>
      </c>
      <c r="S67">
        <v>7.2883878249660299</v>
      </c>
      <c r="T67">
        <v>7.05720367266205</v>
      </c>
      <c r="U67">
        <v>0.137873546659081</v>
      </c>
      <c r="V67">
        <v>1.4325529863763</v>
      </c>
      <c r="W67">
        <v>1.52532</v>
      </c>
      <c r="X67">
        <v>113.536895250754</v>
      </c>
      <c r="Y67">
        <v>1</v>
      </c>
    </row>
    <row r="68" spans="1:25" x14ac:dyDescent="0.25">
      <c r="A68">
        <v>120</v>
      </c>
      <c r="B68">
        <v>1.5</v>
      </c>
      <c r="C68" s="1">
        <v>1000000</v>
      </c>
      <c r="D68">
        <v>1</v>
      </c>
      <c r="E68">
        <v>0</v>
      </c>
      <c r="F68">
        <v>0.62775000000000003</v>
      </c>
      <c r="G68">
        <v>3.6277499999999998</v>
      </c>
      <c r="H68">
        <v>0.62775000000000003</v>
      </c>
      <c r="I68">
        <v>0</v>
      </c>
      <c r="J68">
        <v>-2.286512810813</v>
      </c>
      <c r="K68">
        <v>-2.2851640902236698</v>
      </c>
      <c r="L68">
        <v>2.8912334016423</v>
      </c>
      <c r="M68">
        <v>34.264914918326198</v>
      </c>
      <c r="N68">
        <v>0.113862369925954</v>
      </c>
      <c r="O68">
        <v>4.1887902047801902</v>
      </c>
      <c r="P68">
        <v>-0.83471527938110601</v>
      </c>
      <c r="Q68">
        <v>9.5661510086840291</v>
      </c>
      <c r="R68">
        <v>9.4209834189128596</v>
      </c>
      <c r="S68">
        <v>7.2762291481383699</v>
      </c>
      <c r="T68">
        <v>7.0572039841754597</v>
      </c>
      <c r="U68">
        <v>0.13805173460900699</v>
      </c>
      <c r="V68">
        <v>1.43160813173165</v>
      </c>
      <c r="W68">
        <v>1.5236700000000001</v>
      </c>
      <c r="X68">
        <v>113.786243717281</v>
      </c>
      <c r="Y68">
        <v>1</v>
      </c>
    </row>
    <row r="69" spans="1:25" x14ac:dyDescent="0.25">
      <c r="A69">
        <v>120</v>
      </c>
      <c r="B69">
        <v>1.5</v>
      </c>
      <c r="C69" s="1">
        <v>1000000</v>
      </c>
      <c r="D69">
        <v>1</v>
      </c>
      <c r="E69">
        <v>0</v>
      </c>
      <c r="F69">
        <v>0.62849999999999995</v>
      </c>
      <c r="G69">
        <v>3.6284999999999998</v>
      </c>
      <c r="H69">
        <v>0.62849999999999995</v>
      </c>
      <c r="I69">
        <v>0</v>
      </c>
      <c r="J69">
        <v>-2.2876892237767299</v>
      </c>
      <c r="K69">
        <v>-2.2863791498659798</v>
      </c>
      <c r="L69">
        <v>2.9020106094061702</v>
      </c>
      <c r="M69">
        <v>34.269979848968703</v>
      </c>
      <c r="N69">
        <v>0.118023007326998</v>
      </c>
      <c r="O69">
        <v>4.1887902047800898</v>
      </c>
      <c r="P69">
        <v>-0.83797414066445897</v>
      </c>
      <c r="Q69">
        <v>9.5586395878769306</v>
      </c>
      <c r="R69">
        <v>9.4209832681661396</v>
      </c>
      <c r="S69">
        <v>7.2648055315065996</v>
      </c>
      <c r="T69">
        <v>7.0572035324789599</v>
      </c>
      <c r="U69">
        <v>0.13834536213662799</v>
      </c>
      <c r="V69">
        <v>1.4306484363412</v>
      </c>
      <c r="W69">
        <v>1.5224800000000001</v>
      </c>
      <c r="X69">
        <v>113.989595016477</v>
      </c>
      <c r="Y69">
        <v>1</v>
      </c>
    </row>
    <row r="70" spans="1:25" x14ac:dyDescent="0.25">
      <c r="A70">
        <v>120</v>
      </c>
      <c r="B70">
        <v>1.5</v>
      </c>
      <c r="C70" s="1">
        <v>1000000</v>
      </c>
      <c r="D70">
        <v>1</v>
      </c>
      <c r="E70">
        <v>0</v>
      </c>
      <c r="F70">
        <v>0.62924999999999998</v>
      </c>
      <c r="G70">
        <v>3.6292499999999999</v>
      </c>
      <c r="H70">
        <v>0.62924999999999998</v>
      </c>
      <c r="I70">
        <v>0</v>
      </c>
      <c r="J70">
        <v>-2.28883690145376</v>
      </c>
      <c r="K70">
        <v>-2.2875430848095899</v>
      </c>
      <c r="L70">
        <v>2.9127934975018599</v>
      </c>
      <c r="M70">
        <v>34.2750726721343</v>
      </c>
      <c r="N70">
        <v>0.11101100521268099</v>
      </c>
      <c r="O70">
        <v>4.18879020478066</v>
      </c>
      <c r="P70">
        <v>-0.84119102827272796</v>
      </c>
      <c r="Q70">
        <v>9.5511515962072693</v>
      </c>
      <c r="R70">
        <v>9.4209831134858693</v>
      </c>
      <c r="S70">
        <v>7.2534263647970096</v>
      </c>
      <c r="T70">
        <v>7.0572030689958902</v>
      </c>
      <c r="U70">
        <v>0.13863790472227999</v>
      </c>
      <c r="V70">
        <v>1.4296904697569699</v>
      </c>
      <c r="W70">
        <v>1.5213000000000001</v>
      </c>
      <c r="X70">
        <v>114.191922623454</v>
      </c>
      <c r="Y70">
        <v>1</v>
      </c>
    </row>
    <row r="71" spans="1:25" x14ac:dyDescent="0.25">
      <c r="A71">
        <v>120</v>
      </c>
      <c r="B71">
        <v>1.5</v>
      </c>
      <c r="C71" s="1">
        <v>1000000</v>
      </c>
      <c r="D71">
        <v>1</v>
      </c>
      <c r="E71">
        <v>0</v>
      </c>
      <c r="F71">
        <v>0.63</v>
      </c>
      <c r="G71">
        <v>3.63</v>
      </c>
      <c r="H71">
        <v>0.63</v>
      </c>
      <c r="I71">
        <v>0</v>
      </c>
      <c r="J71">
        <v>-2.2898919769278501</v>
      </c>
      <c r="K71">
        <v>-2.2885795133629001</v>
      </c>
      <c r="L71">
        <v>2.9235779799950898</v>
      </c>
      <c r="M71">
        <v>34.280277914604</v>
      </c>
      <c r="N71">
        <v>0.200744839279239</v>
      </c>
      <c r="O71">
        <v>4.1887902047666401</v>
      </c>
      <c r="P71">
        <v>-0.84426569037763999</v>
      </c>
      <c r="Q71">
        <v>9.5437998578873309</v>
      </c>
      <c r="R71">
        <v>9.4209835714418606</v>
      </c>
      <c r="S71">
        <v>7.2422652214781396</v>
      </c>
      <c r="T71">
        <v>7.0572044412180697</v>
      </c>
      <c r="U71">
        <v>0.138712620033274</v>
      </c>
      <c r="V71">
        <v>1.4285980810918599</v>
      </c>
      <c r="W71">
        <v>1.5198199999999999</v>
      </c>
      <c r="X71">
        <v>114.407832357335</v>
      </c>
      <c r="Y71">
        <v>1</v>
      </c>
    </row>
    <row r="72" spans="1:25" x14ac:dyDescent="0.25">
      <c r="A72">
        <v>120</v>
      </c>
      <c r="B72">
        <v>1.5</v>
      </c>
      <c r="C72" s="1">
        <v>1000000</v>
      </c>
      <c r="D72">
        <v>1</v>
      </c>
      <c r="E72">
        <v>0</v>
      </c>
      <c r="F72">
        <v>0.63075000000000003</v>
      </c>
      <c r="G72">
        <v>3.6307499999999999</v>
      </c>
      <c r="H72">
        <v>0.63075000000000003</v>
      </c>
      <c r="I72">
        <v>0</v>
      </c>
      <c r="J72">
        <v>-2.2909534942267</v>
      </c>
      <c r="K72">
        <v>-2.2896585276972599</v>
      </c>
      <c r="L72">
        <v>2.9343713116335199</v>
      </c>
      <c r="M72">
        <v>34.285422885366501</v>
      </c>
      <c r="N72">
        <v>0.19992457261861901</v>
      </c>
      <c r="O72">
        <v>4.1887902047621903</v>
      </c>
      <c r="P72">
        <v>-0.84741370884212697</v>
      </c>
      <c r="Q72">
        <v>9.5363553288912009</v>
      </c>
      <c r="R72">
        <v>9.4209833948992205</v>
      </c>
      <c r="S72">
        <v>7.2309696921513504</v>
      </c>
      <c r="T72">
        <v>7.0572039122154901</v>
      </c>
      <c r="U72">
        <v>0.13898649256430801</v>
      </c>
      <c r="V72">
        <v>1.42767241425436</v>
      </c>
      <c r="W72">
        <v>1.5186900000000001</v>
      </c>
      <c r="X72">
        <v>114.609174318301</v>
      </c>
      <c r="Y72">
        <v>1</v>
      </c>
    </row>
    <row r="73" spans="1:25" x14ac:dyDescent="0.25">
      <c r="A73">
        <v>120</v>
      </c>
      <c r="B73">
        <v>1.5</v>
      </c>
      <c r="C73" s="1">
        <v>1000000</v>
      </c>
      <c r="D73">
        <v>1</v>
      </c>
      <c r="E73">
        <v>0</v>
      </c>
      <c r="F73">
        <v>0.63149999999999995</v>
      </c>
      <c r="G73">
        <v>3.6315</v>
      </c>
      <c r="H73">
        <v>0.63149999999999995</v>
      </c>
      <c r="I73">
        <v>0</v>
      </c>
      <c r="J73">
        <v>-2.2920273579794199</v>
      </c>
      <c r="K73">
        <v>-2.2907517061446598</v>
      </c>
      <c r="L73">
        <v>2.9451696051736</v>
      </c>
      <c r="M73">
        <v>34.290593382887799</v>
      </c>
      <c r="N73">
        <v>0.198502052376368</v>
      </c>
      <c r="O73">
        <v>4.1887902047586696</v>
      </c>
      <c r="P73">
        <v>-0.85057647622668897</v>
      </c>
      <c r="Q73">
        <v>9.5289322563684902</v>
      </c>
      <c r="R73">
        <v>9.4209832070682697</v>
      </c>
      <c r="S73">
        <v>7.2197153684885302</v>
      </c>
      <c r="T73">
        <v>7.0572033493884696</v>
      </c>
      <c r="U73">
        <v>0.13923240275763499</v>
      </c>
      <c r="V73">
        <v>1.4267681298452399</v>
      </c>
      <c r="W73">
        <v>1.51759</v>
      </c>
      <c r="X73">
        <v>114.80922374748199</v>
      </c>
      <c r="Y73">
        <v>1</v>
      </c>
    </row>
    <row r="74" spans="1:25" x14ac:dyDescent="0.25">
      <c r="A74">
        <v>120</v>
      </c>
      <c r="B74">
        <v>1.5</v>
      </c>
      <c r="C74" s="1">
        <v>1000000</v>
      </c>
      <c r="D74">
        <v>1</v>
      </c>
      <c r="E74">
        <v>0</v>
      </c>
      <c r="F74">
        <v>0.63224999999999998</v>
      </c>
      <c r="G74">
        <v>3.63225</v>
      </c>
      <c r="H74">
        <v>0.63224999999999998</v>
      </c>
      <c r="I74">
        <v>0</v>
      </c>
      <c r="J74">
        <v>-2.29299451108337</v>
      </c>
      <c r="K74">
        <v>-2.29175450195005</v>
      </c>
      <c r="L74">
        <v>2.9559726771773098</v>
      </c>
      <c r="M74">
        <v>34.295790173003198</v>
      </c>
      <c r="N74">
        <v>0.19408169217927501</v>
      </c>
      <c r="O74">
        <v>4.1887902047582601</v>
      </c>
      <c r="P74">
        <v>-0.85366254673355801</v>
      </c>
      <c r="Q74">
        <v>9.5215317756875795</v>
      </c>
      <c r="R74">
        <v>9.4209830338016793</v>
      </c>
      <c r="S74">
        <v>7.2085039189960698</v>
      </c>
      <c r="T74">
        <v>7.0572028302088397</v>
      </c>
      <c r="U74">
        <v>0.13944819295022301</v>
      </c>
      <c r="V74">
        <v>1.4258784552768</v>
      </c>
      <c r="W74">
        <v>1.51651</v>
      </c>
      <c r="X74">
        <v>115.007739598518</v>
      </c>
      <c r="Y74">
        <v>1</v>
      </c>
    </row>
    <row r="75" spans="1:25" x14ac:dyDescent="0.25">
      <c r="A75">
        <v>120</v>
      </c>
      <c r="B75">
        <v>1.5</v>
      </c>
      <c r="C75" s="1">
        <v>1000000</v>
      </c>
      <c r="D75">
        <v>1</v>
      </c>
      <c r="E75">
        <v>0</v>
      </c>
      <c r="F75">
        <v>0.63300000000000001</v>
      </c>
      <c r="G75">
        <v>3.633</v>
      </c>
      <c r="H75">
        <v>0.63300000000000001</v>
      </c>
      <c r="I75">
        <v>0</v>
      </c>
      <c r="J75">
        <v>-2.2939290641732999</v>
      </c>
      <c r="K75">
        <v>-2.2927063500784199</v>
      </c>
      <c r="L75">
        <v>2.9667802993568202</v>
      </c>
      <c r="M75">
        <v>34.301011658775401</v>
      </c>
      <c r="N75">
        <v>0.18588647301021799</v>
      </c>
      <c r="O75">
        <v>4.1887902047610899</v>
      </c>
      <c r="P75">
        <v>-0.85670651110774099</v>
      </c>
      <c r="Q75">
        <v>9.5141519040601903</v>
      </c>
      <c r="R75">
        <v>9.4209828880659998</v>
      </c>
      <c r="S75">
        <v>7.1973324915402497</v>
      </c>
      <c r="T75">
        <v>7.0572023935326298</v>
      </c>
      <c r="U75">
        <v>0.13964634373347901</v>
      </c>
      <c r="V75">
        <v>1.4249261160774001</v>
      </c>
      <c r="W75">
        <v>1.5154099999999999</v>
      </c>
      <c r="X75">
        <v>115.20471240137201</v>
      </c>
      <c r="Y75">
        <v>1</v>
      </c>
    </row>
    <row r="76" spans="1:25" x14ac:dyDescent="0.25">
      <c r="A76">
        <v>120</v>
      </c>
      <c r="B76">
        <v>1.5</v>
      </c>
      <c r="C76" s="1">
        <v>1000000</v>
      </c>
      <c r="D76">
        <v>1</v>
      </c>
      <c r="E76">
        <v>0</v>
      </c>
      <c r="F76">
        <v>0.63375000000000004</v>
      </c>
      <c r="G76">
        <v>3.63375</v>
      </c>
      <c r="H76">
        <v>0.63375000000000004</v>
      </c>
      <c r="I76">
        <v>0</v>
      </c>
      <c r="J76">
        <v>-2.2948224273837998</v>
      </c>
      <c r="K76">
        <v>-2.2936413420430002</v>
      </c>
      <c r="L76">
        <v>2.97758245333684</v>
      </c>
      <c r="M76">
        <v>34.306282999880601</v>
      </c>
      <c r="N76">
        <v>0.17144419456166701</v>
      </c>
      <c r="O76">
        <v>4.1887902047754304</v>
      </c>
      <c r="P76">
        <v>-0.85972441642230402</v>
      </c>
      <c r="Q76">
        <v>9.5068350351690007</v>
      </c>
      <c r="R76">
        <v>9.4209827903403696</v>
      </c>
      <c r="S76">
        <v>7.1862713355638199</v>
      </c>
      <c r="T76">
        <v>7.0572021007268297</v>
      </c>
      <c r="U76">
        <v>0.13977575711986701</v>
      </c>
      <c r="V76">
        <v>1.4239398381241399</v>
      </c>
      <c r="W76">
        <v>1.5142</v>
      </c>
      <c r="X76">
        <v>115.409320497918</v>
      </c>
      <c r="Y76">
        <v>1</v>
      </c>
    </row>
    <row r="77" spans="1:25" x14ac:dyDescent="0.25">
      <c r="A77">
        <v>120</v>
      </c>
      <c r="B77">
        <v>1.5</v>
      </c>
      <c r="C77" s="1">
        <v>1000000</v>
      </c>
      <c r="D77">
        <v>1</v>
      </c>
      <c r="E77">
        <v>0</v>
      </c>
      <c r="F77">
        <v>0.63449999999999995</v>
      </c>
      <c r="G77">
        <v>3.6345000000000001</v>
      </c>
      <c r="H77">
        <v>0.63449999999999995</v>
      </c>
      <c r="I77">
        <v>0</v>
      </c>
      <c r="J77">
        <v>-2.2956899814179001</v>
      </c>
      <c r="K77">
        <v>-2.29445698375907</v>
      </c>
      <c r="L77">
        <v>2.9883990886333001</v>
      </c>
      <c r="M77">
        <v>34.311570840533797</v>
      </c>
      <c r="N77">
        <v>0.17763650233449499</v>
      </c>
      <c r="O77">
        <v>4.1887902047782299</v>
      </c>
      <c r="P77">
        <v>-0.86264628926290299</v>
      </c>
      <c r="Q77">
        <v>9.4995202627489892</v>
      </c>
      <c r="R77">
        <v>9.42098256590128</v>
      </c>
      <c r="S77">
        <v>7.1752149334505804</v>
      </c>
      <c r="T77">
        <v>7.0572014282486597</v>
      </c>
      <c r="U77">
        <v>0.139902795841646</v>
      </c>
      <c r="V77">
        <v>1.42299367931468</v>
      </c>
      <c r="W77">
        <v>1.5129999999999999</v>
      </c>
      <c r="X77">
        <v>115.600711302801</v>
      </c>
      <c r="Y77">
        <v>1</v>
      </c>
    </row>
    <row r="78" spans="1:25" x14ac:dyDescent="0.25">
      <c r="A78">
        <v>120</v>
      </c>
      <c r="B78">
        <v>1.5</v>
      </c>
      <c r="C78" s="1">
        <v>1000000</v>
      </c>
      <c r="D78">
        <v>1</v>
      </c>
      <c r="E78">
        <v>0</v>
      </c>
      <c r="F78">
        <v>0.63524999999999998</v>
      </c>
      <c r="G78">
        <v>3.6352500000000001</v>
      </c>
      <c r="H78">
        <v>0.63524999999999998</v>
      </c>
      <c r="I78">
        <v>0</v>
      </c>
      <c r="J78">
        <v>-2.29640625961318</v>
      </c>
      <c r="K78">
        <v>-2.2951676838939399</v>
      </c>
      <c r="L78">
        <v>2.9992185314125899</v>
      </c>
      <c r="M78">
        <v>34.3168562156863</v>
      </c>
      <c r="N78">
        <v>0.17438979520544201</v>
      </c>
      <c r="O78">
        <v>4.1887902047774501</v>
      </c>
      <c r="P78">
        <v>-0.86548805874336698</v>
      </c>
      <c r="Q78">
        <v>9.4921919931607892</v>
      </c>
      <c r="R78">
        <v>9.4209823875365597</v>
      </c>
      <c r="S78">
        <v>7.1641479078082497</v>
      </c>
      <c r="T78">
        <v>7.0572008937983099</v>
      </c>
      <c r="U78">
        <v>0.14016196566207201</v>
      </c>
      <c r="V78">
        <v>1.4220366897308401</v>
      </c>
      <c r="W78">
        <v>1.51183</v>
      </c>
      <c r="X78">
        <v>115.795620973696</v>
      </c>
      <c r="Y78">
        <v>1</v>
      </c>
    </row>
    <row r="79" spans="1:25" x14ac:dyDescent="0.25">
      <c r="A79">
        <v>120</v>
      </c>
      <c r="B79">
        <v>1.5</v>
      </c>
      <c r="C79" s="1">
        <v>1000000</v>
      </c>
      <c r="D79">
        <v>1</v>
      </c>
      <c r="E79">
        <v>0</v>
      </c>
      <c r="F79">
        <v>0.63600000000000001</v>
      </c>
      <c r="G79">
        <v>3.6360000000000001</v>
      </c>
      <c r="H79">
        <v>0.63600000000000001</v>
      </c>
      <c r="I79">
        <v>0</v>
      </c>
      <c r="J79">
        <v>-2.2970944875778998</v>
      </c>
      <c r="K79">
        <v>-2.2958935723632798</v>
      </c>
      <c r="L79">
        <v>3.0100414317097699</v>
      </c>
      <c r="M79">
        <v>34.3221779092829</v>
      </c>
      <c r="N79">
        <v>0.161043284528752</v>
      </c>
      <c r="O79">
        <v>4.1887902047780399</v>
      </c>
      <c r="P79">
        <v>-0.86833939409993</v>
      </c>
      <c r="Q79">
        <v>9.4849016600533709</v>
      </c>
      <c r="R79">
        <v>9.4209822128304896</v>
      </c>
      <c r="S79">
        <v>7.1531465840679997</v>
      </c>
      <c r="T79">
        <v>7.0572003703109596</v>
      </c>
      <c r="U79">
        <v>0.14043399565279399</v>
      </c>
      <c r="V79">
        <v>1.4210807781420101</v>
      </c>
      <c r="W79">
        <v>1.51067</v>
      </c>
      <c r="X79">
        <v>115.990116116823</v>
      </c>
      <c r="Y79">
        <v>1</v>
      </c>
    </row>
    <row r="80" spans="1:25" x14ac:dyDescent="0.25">
      <c r="A80">
        <v>120</v>
      </c>
      <c r="B80">
        <v>1.5</v>
      </c>
      <c r="C80" s="1">
        <v>1000000</v>
      </c>
      <c r="D80">
        <v>1</v>
      </c>
      <c r="E80">
        <v>0</v>
      </c>
      <c r="F80">
        <v>0.63675000000000004</v>
      </c>
      <c r="G80">
        <v>3.6367500000000001</v>
      </c>
      <c r="H80">
        <v>0.63675000000000004</v>
      </c>
      <c r="I80">
        <v>0</v>
      </c>
      <c r="J80">
        <v>-2.2977692155015701</v>
      </c>
      <c r="K80">
        <v>-2.2965533884006399</v>
      </c>
      <c r="L80">
        <v>3.0208676701444799</v>
      </c>
      <c r="M80">
        <v>34.327493477654201</v>
      </c>
      <c r="N80">
        <v>0.15906522671866899</v>
      </c>
      <c r="O80">
        <v>4.1887902047784698</v>
      </c>
      <c r="P80">
        <v>-0.87114588862446696</v>
      </c>
      <c r="Q80">
        <v>9.4775932005294692</v>
      </c>
      <c r="R80">
        <v>9.4209820319829394</v>
      </c>
      <c r="S80">
        <v>7.1421263763104399</v>
      </c>
      <c r="T80">
        <v>7.0571998284212301</v>
      </c>
      <c r="U80">
        <v>0.14072011846576199</v>
      </c>
      <c r="V80">
        <v>1.4201124968125101</v>
      </c>
      <c r="W80">
        <v>1.5095000000000001</v>
      </c>
      <c r="X80">
        <v>116.182182867055</v>
      </c>
      <c r="Y80">
        <v>1</v>
      </c>
    </row>
    <row r="81" spans="1:25" x14ac:dyDescent="0.25">
      <c r="A81">
        <v>120</v>
      </c>
      <c r="B81">
        <v>1.5</v>
      </c>
      <c r="C81" s="1">
        <v>1000000</v>
      </c>
      <c r="D81">
        <v>1</v>
      </c>
      <c r="E81">
        <v>0</v>
      </c>
      <c r="F81">
        <v>0.63749999999999996</v>
      </c>
      <c r="G81">
        <v>3.6375000000000002</v>
      </c>
      <c r="H81">
        <v>0.63749999999999996</v>
      </c>
      <c r="I81">
        <v>0</v>
      </c>
      <c r="J81">
        <v>-2.2984311948432601</v>
      </c>
      <c r="K81">
        <v>-2.29715654041705</v>
      </c>
      <c r="L81">
        <v>3.0316969980718902</v>
      </c>
      <c r="M81">
        <v>34.332816311045796</v>
      </c>
      <c r="N81">
        <v>0.16525526236636001</v>
      </c>
      <c r="O81">
        <v>4.1887902047782104</v>
      </c>
      <c r="P81">
        <v>-0.87391011466632595</v>
      </c>
      <c r="Q81">
        <v>9.4702846537832404</v>
      </c>
      <c r="R81">
        <v>9.4209818471239704</v>
      </c>
      <c r="S81">
        <v>7.13111454737329</v>
      </c>
      <c r="T81">
        <v>7.0571992745114596</v>
      </c>
      <c r="U81">
        <v>0.14100665804458301</v>
      </c>
      <c r="V81">
        <v>1.4191317214243599</v>
      </c>
      <c r="W81">
        <v>1.5083200000000001</v>
      </c>
      <c r="X81">
        <v>116.372800032954</v>
      </c>
      <c r="Y81">
        <v>1</v>
      </c>
    </row>
    <row r="82" spans="1:25" x14ac:dyDescent="0.25">
      <c r="A82">
        <v>120</v>
      </c>
      <c r="B82">
        <v>1.5</v>
      </c>
      <c r="C82" s="1">
        <v>1000000</v>
      </c>
      <c r="D82">
        <v>1</v>
      </c>
      <c r="E82">
        <v>0</v>
      </c>
      <c r="F82">
        <v>0.63824999999999998</v>
      </c>
      <c r="G82">
        <v>3.6382500000000002</v>
      </c>
      <c r="H82">
        <v>0.63824999999999998</v>
      </c>
      <c r="I82">
        <v>0</v>
      </c>
      <c r="J82">
        <v>-2.2989937720620999</v>
      </c>
      <c r="K82">
        <v>-2.29772195868961</v>
      </c>
      <c r="L82">
        <v>3.0425291198250402</v>
      </c>
      <c r="M82">
        <v>34.338170732089097</v>
      </c>
      <c r="N82">
        <v>0.171690948412241</v>
      </c>
      <c r="O82">
        <v>4.1887902047786598</v>
      </c>
      <c r="P82">
        <v>-0.87663853289803595</v>
      </c>
      <c r="Q82">
        <v>9.4630087537984604</v>
      </c>
      <c r="R82">
        <v>9.4209816647868792</v>
      </c>
      <c r="S82">
        <v>7.1201602936206703</v>
      </c>
      <c r="T82">
        <v>7.0571987281584896</v>
      </c>
      <c r="U82">
        <v>0.14130926840236299</v>
      </c>
      <c r="V82">
        <v>1.41815106317618</v>
      </c>
      <c r="W82">
        <v>1.5071600000000001</v>
      </c>
      <c r="X82">
        <v>116.562786923705</v>
      </c>
      <c r="Y82">
        <v>1</v>
      </c>
    </row>
    <row r="83" spans="1:25" x14ac:dyDescent="0.25">
      <c r="A83">
        <v>120</v>
      </c>
      <c r="B83">
        <v>1.5</v>
      </c>
      <c r="C83" s="1">
        <v>1000000</v>
      </c>
      <c r="D83">
        <v>1</v>
      </c>
      <c r="E83">
        <v>0</v>
      </c>
      <c r="F83">
        <v>0.63900000000000001</v>
      </c>
      <c r="G83">
        <v>3.6389999999999998</v>
      </c>
      <c r="H83">
        <v>0.63900000000000001</v>
      </c>
      <c r="I83">
        <v>0</v>
      </c>
      <c r="J83">
        <v>-2.2995114925753799</v>
      </c>
      <c r="K83">
        <v>-2.2982426349199101</v>
      </c>
      <c r="L83">
        <v>3.0533638521376201</v>
      </c>
      <c r="M83">
        <v>34.343546967883697</v>
      </c>
      <c r="N83">
        <v>0.17584046771546899</v>
      </c>
      <c r="O83">
        <v>4.1887902047791403</v>
      </c>
      <c r="P83">
        <v>-0.87932862785622201</v>
      </c>
      <c r="Q83">
        <v>9.4557528529418207</v>
      </c>
      <c r="R83">
        <v>9.4209814814487807</v>
      </c>
      <c r="S83">
        <v>7.1092444570448103</v>
      </c>
      <c r="T83">
        <v>7.0571981788060203</v>
      </c>
      <c r="U83">
        <v>0.14161782940263901</v>
      </c>
      <c r="V83">
        <v>1.41717202210406</v>
      </c>
      <c r="W83">
        <v>1.506</v>
      </c>
      <c r="X83">
        <v>116.751947859083</v>
      </c>
      <c r="Y83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9"/>
  <sheetViews>
    <sheetView workbookViewId="0"/>
  </sheetViews>
  <sheetFormatPr defaultRowHeight="15" x14ac:dyDescent="0.25"/>
  <cols>
    <col min="1" max="1" width="6.140625" bestFit="1" customWidth="1"/>
    <col min="2" max="2" width="15.140625" bestFit="1" customWidth="1"/>
    <col min="3" max="3" width="6.140625" bestFit="1" customWidth="1"/>
    <col min="4" max="4" width="15.140625" bestFit="1" customWidth="1"/>
  </cols>
  <sheetData>
    <row r="1" spans="1:2" x14ac:dyDescent="0.25">
      <c r="A1" t="s">
        <v>58</v>
      </c>
      <c r="B1" t="s">
        <v>59</v>
      </c>
    </row>
    <row r="2" spans="1:2" x14ac:dyDescent="0.25">
      <c r="A2">
        <v>67</v>
      </c>
      <c r="B2">
        <v>0.97499999999999998</v>
      </c>
    </row>
    <row r="3" spans="1:2" x14ac:dyDescent="0.25">
      <c r="A3">
        <v>100</v>
      </c>
      <c r="B3">
        <v>1.1000000000000001</v>
      </c>
    </row>
    <row r="4" spans="1:2" x14ac:dyDescent="0.25">
      <c r="A4">
        <v>110</v>
      </c>
      <c r="B4">
        <v>1.1499999999999999</v>
      </c>
    </row>
    <row r="5" spans="1:2" x14ac:dyDescent="0.25">
      <c r="A5">
        <v>124</v>
      </c>
      <c r="B5">
        <v>1.175</v>
      </c>
    </row>
    <row r="6" spans="1:2" x14ac:dyDescent="0.25">
      <c r="A6">
        <v>143</v>
      </c>
      <c r="B6">
        <v>1.2250000000000001</v>
      </c>
    </row>
    <row r="7" spans="1:2" x14ac:dyDescent="0.25">
      <c r="A7">
        <v>160</v>
      </c>
      <c r="B7">
        <v>1.25</v>
      </c>
    </row>
    <row r="8" spans="1:2" x14ac:dyDescent="0.25">
      <c r="A8">
        <v>170</v>
      </c>
      <c r="B8">
        <v>1.25</v>
      </c>
    </row>
    <row r="9" spans="1:2" x14ac:dyDescent="0.25">
      <c r="A9">
        <v>174</v>
      </c>
      <c r="B9">
        <v>1.25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H1" workbookViewId="0">
      <selection activeCell="M7" sqref="M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Parameters</vt:lpstr>
      <vt:lpstr>Force data</vt:lpstr>
      <vt:lpstr>Fluid data</vt:lpstr>
      <vt:lpstr>Bubble data</vt:lpstr>
      <vt:lpstr>Rupture data</vt:lpstr>
      <vt:lpstr>Temp</vt:lpstr>
      <vt:lpstr>Bubble</vt:lpstr>
      <vt:lpstr>Fluid</vt:lpstr>
      <vt:lpstr>Force</vt:lpstr>
      <vt:lpstr>Rupture</vt:lpstr>
    </vt:vector>
  </TitlesOfParts>
  <Company>MPI for polymer research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Pranav Sudersan</dc:creator>
  <cp:lastModifiedBy>Pranav Sudersan</cp:lastModifiedBy>
  <dcterms:created xsi:type="dcterms:W3CDTF">2020-05-20T14:36:47Z</dcterms:created>
  <dcterms:modified xsi:type="dcterms:W3CDTF">2020-10-29T14:21:38Z</dcterms:modified>
</cp:coreProperties>
</file>